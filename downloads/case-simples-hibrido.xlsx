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3874b7ea1cbbe03/Área de Trabalho/"/>
    </mc:Choice>
  </mc:AlternateContent>
  <xr:revisionPtr revIDLastSave="18" documentId="11_CC6C22A2B2C9F3F17B9780977D47EF4540E3A96B" xr6:coauthVersionLast="47" xr6:coauthVersionMax="47" xr10:uidLastSave="{3DB38393-3E59-4931-BA31-56593DFEAD4B}"/>
  <bookViews>
    <workbookView xWindow="-120" yWindow="-120" windowWidth="24240" windowHeight="13140" xr2:uid="{00000000-000D-0000-FFFF-FFFF00000000}"/>
  </bookViews>
  <sheets>
    <sheet name="Premissas" sheetId="1" r:id="rId1"/>
    <sheet name="Carga Tributária Empresa" sheetId="3" r:id="rId2"/>
    <sheet name="Impacto Cliente" sheetId="2" r:id="rId3"/>
    <sheet name="Passo DAS 2027" sheetId="4" r:id="rId4"/>
    <sheet name="Passo Híbrido 2027" sheetId="5" r:id="rId5"/>
    <sheet name="Desconto Atacadista" sheetId="6" r:id="rId6"/>
  </sheets>
  <calcPr calcId="191029"/>
</workbook>
</file>

<file path=xl/calcChain.xml><?xml version="1.0" encoding="utf-8"?>
<calcChain xmlns="http://schemas.openxmlformats.org/spreadsheetml/2006/main">
  <c r="D34" i="6" l="1"/>
  <c r="D30" i="6"/>
  <c r="D21" i="6"/>
  <c r="D23" i="6" s="1"/>
  <c r="D16" i="6"/>
  <c r="D13" i="6"/>
  <c r="D35" i="6" s="1"/>
  <c r="D12" i="6"/>
  <c r="D22" i="6" s="1"/>
  <c r="D11" i="6"/>
  <c r="D17" i="6" s="1"/>
  <c r="D18" i="6" s="1"/>
  <c r="D27" i="6" s="1"/>
  <c r="D28" i="6" s="1"/>
  <c r="D29" i="6" s="1"/>
  <c r="D31" i="6" s="1"/>
  <c r="D16" i="5"/>
  <c r="D15" i="5"/>
  <c r="D6" i="5"/>
  <c r="D14" i="5" s="1"/>
  <c r="D6" i="4"/>
  <c r="D16" i="4" s="1"/>
  <c r="E19" i="3"/>
  <c r="D19" i="3"/>
  <c r="C19" i="3"/>
  <c r="E12" i="3"/>
  <c r="E13" i="3" s="1"/>
  <c r="E15" i="3" s="1"/>
  <c r="E16" i="3" s="1"/>
  <c r="E11" i="3"/>
  <c r="E9" i="3"/>
  <c r="D8" i="3"/>
  <c r="D15" i="3" s="1"/>
  <c r="D16" i="3" s="1"/>
  <c r="C7" i="3"/>
  <c r="C15" i="3" s="1"/>
  <c r="C16" i="3" s="1"/>
  <c r="E5" i="3"/>
  <c r="D5" i="3"/>
  <c r="C5" i="3"/>
  <c r="E9" i="2"/>
  <c r="D9" i="2"/>
  <c r="D8" i="2"/>
  <c r="E8" i="2" s="1"/>
  <c r="D7" i="2"/>
  <c r="E7" i="2" s="1"/>
  <c r="C19" i="1"/>
  <c r="C15" i="1"/>
  <c r="C8" i="1"/>
  <c r="D7" i="4" s="1"/>
  <c r="D10" i="4" s="1"/>
  <c r="D11" i="4" s="1"/>
  <c r="D24" i="6" l="1"/>
  <c r="D22" i="5"/>
  <c r="D23" i="5" s="1"/>
  <c r="D29" i="5" s="1"/>
  <c r="E29" i="5" s="1"/>
  <c r="D17" i="5"/>
  <c r="D8" i="5"/>
  <c r="D17" i="4"/>
  <c r="D18" i="4" s="1"/>
  <c r="C29" i="5" s="1"/>
  <c r="D9" i="5"/>
  <c r="D7" i="5"/>
  <c r="D10" i="5" s="1"/>
  <c r="D21" i="5" s="1"/>
  <c r="D28" i="5" s="1"/>
  <c r="E28" i="5" s="1"/>
  <c r="C28" i="5"/>
  <c r="D36" i="6"/>
  <c r="D37" i="6"/>
  <c r="D38" i="6" l="1"/>
  <c r="D39" i="6" s="1"/>
</calcChain>
</file>

<file path=xl/sharedStrings.xml><?xml version="1.0" encoding="utf-8"?>
<sst xmlns="http://schemas.openxmlformats.org/spreadsheetml/2006/main" count="195" uniqueCount="188">
  <si>
    <t>CASE: SIMPLES HÍBRIDO — Distribuidor / Atacadista</t>
  </si>
  <si>
    <t>Impacto da Reforma Tributária (LC 214/2025) na transferência de crédito de IBS/CBS</t>
  </si>
  <si>
    <t>1. PERFIL DA EMPRESA (Atacadista optante do Simples — Anexo I / Comércio)</t>
  </si>
  <si>
    <t>Faturamento mensal</t>
  </si>
  <si>
    <t>Receita bruta mensal informada</t>
  </si>
  <si>
    <t>Faturamento anual (RBT12)</t>
  </si>
  <si>
    <t>Base para faixa do Simples</t>
  </si>
  <si>
    <t>% vendas p/ Lucro Real (B2B que credita)</t>
  </si>
  <si>
    <t>Clientes que precisam de crédito</t>
  </si>
  <si>
    <t>% vendas p/ consumidor final / não credita</t>
  </si>
  <si>
    <t>Não sofrem com perda de crédito</t>
  </si>
  <si>
    <t>Margem bruta média</t>
  </si>
  <si>
    <t>Margem média (cenário escolhido)</t>
  </si>
  <si>
    <t>2. ESTRUTURA DE CUSTOS E DESPESAS MENSAIS (dados fictícios)</t>
  </si>
  <si>
    <t>CMV — compras de mercadorias (tributadas)</t>
  </si>
  <si>
    <t>85% do faturamento; geram crédito de IBS/CBS no híbrido</t>
  </si>
  <si>
    <t xml:space="preserve">   → das quais, compras de fornecedores Lucro Real/Presumido</t>
  </si>
  <si>
    <t>70% das compras com crédito cheio</t>
  </si>
  <si>
    <t xml:space="preserve">   → das quais, compras de outros optantes do Simples</t>
  </si>
  <si>
    <t>30% sem crédito cheio (transição)</t>
  </si>
  <si>
    <t>Folha de pagamento (salários)</t>
  </si>
  <si>
    <t>8 funcionários — não gera crédito IBS/CBS</t>
  </si>
  <si>
    <t>Estimativa de encargos do Simples</t>
  </si>
  <si>
    <t>Pró-labore sócios</t>
  </si>
  <si>
    <t>Não gera crédito</t>
  </si>
  <si>
    <t>Aluguel galpão/loja</t>
  </si>
  <si>
    <t>Gera crédito IBS/CBS no híbrido</t>
  </si>
  <si>
    <t>Energia, água, telecom</t>
  </si>
  <si>
    <t>Frete e logística</t>
  </si>
  <si>
    <t>Outras despesas operacionais</t>
  </si>
  <si>
    <t>Material, software, manutenção</t>
  </si>
  <si>
    <t>3. PARÂMETROS TRIBUTÁRIOS</t>
  </si>
  <si>
    <t>Alíquota efetiva atual do Simples (Anexo I, faixa RBT12)</t>
  </si>
  <si>
    <t xml:space="preserve">   → parcela de PIS/COFINS dentro do DAS atual</t>
  </si>
  <si>
    <t xml:space="preserve">   → parcela de ICMS dentro do DAS atual</t>
  </si>
  <si>
    <t>Crédito PIS/COFINS que o cliente toma HOJE</t>
  </si>
  <si>
    <t>Crédito cheio na nota, regra atual</t>
  </si>
  <si>
    <t>Alíquota cheia IBS+CBS (regime regular / referência)</t>
  </si>
  <si>
    <t xml:space="preserve">   → CBS (federal)</t>
  </si>
  <si>
    <t>Componente federal</t>
  </si>
  <si>
    <t xml:space="preserve">   → IBS (estadual+municipal)</t>
  </si>
  <si>
    <t>Componente subnacional</t>
  </si>
  <si>
    <t>IBS/CBS embutido no DAS (regime unificado)</t>
  </si>
  <si>
    <t>Crédito reduzido que o cliente recebe se ficar no DAS</t>
  </si>
  <si>
    <t>IMPACTO NO CLIENTE LUCRO REAL — Perda de Crédito</t>
  </si>
  <si>
    <t>Crédito tributário que o varejista Lucro Real recebe a cada R$100 comprados</t>
  </si>
  <si>
    <t>Cenário</t>
  </si>
  <si>
    <t>Base (compra)</t>
  </si>
  <si>
    <t>Crédito recebido</t>
  </si>
  <si>
    <t>% sobre compra</t>
  </si>
  <si>
    <t>HOJE — crédito PIS/COFINS presumido (9,25%)</t>
  </si>
  <si>
    <t>REFORMA — Simples no DAS (crédito reduzido)</t>
  </si>
  <si>
    <t>REFORMA — Simples HÍBRIDO (crédito cheio IBS/CBS)</t>
  </si>
  <si>
    <t>Conclusão a/ cliente:</t>
  </si>
  <si>
    <t>CARGA TRIBUTÁRIA DA EMPRESA — 3 Cenários (mensal)</t>
  </si>
  <si>
    <t>Linha</t>
  </si>
  <si>
    <t>DAS atual (hoje)</t>
  </si>
  <si>
    <t>Unificado (DAS)</t>
  </si>
  <si>
    <t>HÍBRIDO (por fora)</t>
  </si>
  <si>
    <t>Receita bruta mensal</t>
  </si>
  <si>
    <t>DAS — Simples (alíq. efetiva total)</t>
  </si>
  <si>
    <t>DAS — Simples (mantém integral)</t>
  </si>
  <si>
    <t>DAS — Simples REDUZIDO (sai parc. ICMS+PIS/COFINS)</t>
  </si>
  <si>
    <t>IBS/CBS débito (sobre vendas)</t>
  </si>
  <si>
    <t>(-) Crédito IBS/CBS sobre compras tributadas</t>
  </si>
  <si>
    <t>IBS/CBS líquido a recolher (por fora)</t>
  </si>
  <si>
    <t>CARGA TRIBUTÁRIA TOTAL DA EMPRESA</t>
  </si>
  <si>
    <t>Carga sobre faturamento</t>
  </si>
  <si>
    <t>Crédito transferido ao CLIENTE Lucro Real (por R$100 de venda)</t>
  </si>
  <si>
    <t>Crédito que o cliente recebe</t>
  </si>
  <si>
    <t>LEITURA: no regime UNIFICADO a carga própria da empresa quase não muda, mas o crédito ao cliente despenca (vermelho) → risco comercial. No HÍBRIDO a empresa passa a recolher IBS/CBS por fora (com créditos das compras), o DAS é reduzido, e o cliente recebe crédito cheio (verde). O ganho líquido depende de quanto da carteira B2B se credita (80% neste case) e do volume de compras com crédito.</t>
  </si>
  <si>
    <t>PASSO A PASSO — TUDO DENTRO DO SIMPLES (DAS) · 2027</t>
  </si>
  <si>
    <t>Cálculo do DAS — Anexo I, com IBS/CBS embutidos na guia única</t>
  </si>
  <si>
    <t>Faturamento do mês</t>
  </si>
  <si>
    <t>RBT12 (receita acumulada 12 meses)</t>
  </si>
  <si>
    <t>RBT12 = receita do mês vezes 12</t>
  </si>
  <si>
    <t>Alíquota nominal da faixa (Anexo I)</t>
  </si>
  <si>
    <t>3ª faixa: nominal 10,5%</t>
  </si>
  <si>
    <t>Parcela a deduzir (PD) da faixa</t>
  </si>
  <si>
    <t>PD da 3ª faixa do Anexo I</t>
  </si>
  <si>
    <t>Alíquota EFETIVA = (RBT12×nominal − PD)/RBT12</t>
  </si>
  <si>
    <t>Fórmula oficial do Simples</t>
  </si>
  <si>
    <t>DAS total do mês = receita × alíq. efetiva</t>
  </si>
  <si>
    <t>Guia única — inclui tudo</t>
  </si>
  <si>
    <t>Como o DAS se reparte (e quanto de crédito o cliente recebe)</t>
  </si>
  <si>
    <t>parcela ICMS embutida no DAS</t>
  </si>
  <si>
    <t>Permanece no Simples em 2027</t>
  </si>
  <si>
    <t>parcela CBS/IBS embutida no DAS (regime unificado)</t>
  </si>
  <si>
    <t>CRÉDITO de IBS/CBS transferido ao cliente</t>
  </si>
  <si>
    <t>crédito = só o IBS/CBS embutido no DAS</t>
  </si>
  <si>
    <t>Crédito por R$100 vendidos ao cliente</t>
  </si>
  <si>
    <t>≈ R$1,84 — perda vs. 9,25% de hoje</t>
  </si>
  <si>
    <t>PASSO A PASSO — REGIME HÍBRIDO (IBS/CBS POR FORA) · 2027</t>
  </si>
  <si>
    <t>Parte 1 — Recomposição do DAS: TIRA PIS/COFINS e RETIRA também o IBS/CBS para apuração própria</t>
  </si>
  <si>
    <t>Base legal: LC 214/2025, art. 41 (opção do optante do Simples por apurar IBS/CBS no regime regular, por fora do DAS) c/c art. 344 (alíquotas de transição 2027/2028).</t>
  </si>
  <si>
    <t>DAS cheio do regime unificado (alíq. efetiva)</t>
  </si>
  <si>
    <t>Ponto de partida = guia única normal</t>
  </si>
  <si>
    <t>(-) PIS/COFINS embutido no DAS → vira CBS</t>
  </si>
  <si>
    <t>PIS/COFINS extintos em 2027 (art.344). Sai do DAS</t>
  </si>
  <si>
    <t>(-) IBS/CBS embutido no DAS (regime unificado)</t>
  </si>
  <si>
    <t>Retirado: passa a ser apurado POR FORA (art.41)</t>
  </si>
  <si>
    <t>DAS REDUZIDO a recolher (ICMS+CPP+IRPJ+CSLL)</t>
  </si>
  <si>
    <t>Em 2027 ICMS permanece no DAS</t>
  </si>
  <si>
    <t>Parte 2 — ADICIONA IBS/CBS apurado POR FORA (regime regular, não cumulativo)</t>
  </si>
  <si>
    <t>Base legal: LC 214/2025, art. 41 (apuração regular por débito e crédito) e art. 344 (CBS ref. 8,8% reduzida 0,1pp + IBS 0,1% em 2027). PIS/COFINS já extinto (art. 343/344).</t>
  </si>
  <si>
    <t>DÉBITO — IBS/CBS sobre as vendas</t>
  </si>
  <si>
    <t>Receita × (CBS 8,7% + IBS 0,1%)</t>
  </si>
  <si>
    <t>Base de crédito — compras/insumos tributados</t>
  </si>
  <si>
    <t>Compras LR + aluguel + energia + frete</t>
  </si>
  <si>
    <t>(-) CRÉDITO — IBS/CBS das compras</t>
  </si>
  <si>
    <t>Não cumulatividade plena</t>
  </si>
  <si>
    <t>IBS/CBS LÍQUIDO a recolher POR FORA</t>
  </si>
  <si>
    <t>Débito − crédito</t>
  </si>
  <si>
    <t>Parte 3 — Carga total da empresa e crédito ao cliente</t>
  </si>
  <si>
    <t>CARGA TOTAL 2027 = DAS reduzido + IBS/CBS por fora</t>
  </si>
  <si>
    <t>Soma dos dois recolhimentos</t>
  </si>
  <si>
    <t>CRÉDITO de IBS/CBS transferido ao cliente (cheio)</t>
  </si>
  <si>
    <t>crédito = débito integral destacado na NF</t>
  </si>
  <si>
    <t>≈ R$8,80 — vs. R$1,10 no DAS</t>
  </si>
  <si>
    <t>Comparativo direto 2027 — mesma empresa, mesmo mês</t>
  </si>
  <si>
    <t>Indicador</t>
  </si>
  <si>
    <t>DENTRO do Simples (DAS)</t>
  </si>
  <si>
    <t>Diferença</t>
  </si>
  <si>
    <t>Carga tributária da empresa</t>
  </si>
  <si>
    <t>Crédito ao cliente (por R$100)</t>
  </si>
  <si>
    <t>MECÂNICA CORRETA DA PARTE 1: o DAS cheio (passo 2) tem dois componentes que SAEM no híbrido — a parcela federal PIS/COFINS, que em 2027 é extinta e dá lugar à CBS (art.344), e a parcela de IBS/CBS que estava embutida no regime unificado (passo 4). Ambas saem do DAS; o que sobra na guia (passo 5) são ICMS, CPP, IRPJ e CSLL — pois em 2027 o ICMS vive dentro do Simples (só migra de 2029 a 2033). Em seguida, o IBS/CBS é RECOLOCADO na Parte 2, agora apurado por fora pela sistemática regular de débito e crédito (art. 41 da LC 214/2025), gerando crédito CHEIO ao cliente. Resultado: pequena diferença de carga, mas crédito ~8x maior ao cliente Lucro Real. Números fictícios; confirmar faixa no PGDAS.</t>
  </si>
  <si>
    <t>O DESCONTO QUE O ATACADISTA TERIA QUE DAR — imposto por dentro × por fora</t>
  </si>
  <si>
    <t>Conceito: o imposto deixa de ser POR DENTRO (embutido no preço) e passa a ser POR FORA (destacado por cima)</t>
  </si>
  <si>
    <t>Hoje, ICMS/PIS/COFINS estão EMBUTIDOS no preço da mercadoria (cálculo 'por dentro'): o cliente paga um preço único e o crédito vem presumido na nota. Com a reforma, o IBS/CBS é 'por fora': calculado sobre o valor líquido e DESTACADO por cima do preço, como um adicional. O cliente paga preço + IBS/CBS, mas credita o IBS/CBS integralmente — então o custo que de fato 'fica' para ele é só o valor líquido da mercadoria. É por isso que o que importa na negociação é o CUSTO LÍQUIDO do cliente.</t>
  </si>
  <si>
    <t>Premissas da operação (por R$100 de mercadoria)</t>
  </si>
  <si>
    <t>Preço da mercadoria (valor líquido base)</t>
  </si>
  <si>
    <t>Base de referência para a conta</t>
  </si>
  <si>
    <t>Crédito que o cliente toma HOJE (PIS/COFINS 9,25%)</t>
  </si>
  <si>
    <t>Crédito presumido embutido</t>
  </si>
  <si>
    <t>Crédito no DAS (reforma, unificado ~1,1%)</t>
  </si>
  <si>
    <t>Crédito reduzido</t>
  </si>
  <si>
    <t>Crédito no HÍBRIDO (IBS/CBS por fora, 8,8% em 2027)</t>
  </si>
  <si>
    <t>Crédito cheio destacado</t>
  </si>
  <si>
    <t>Cenário de referência — o custo líquido do cliente HOJE</t>
  </si>
  <si>
    <t>Preço pago hoje (imposto por dentro)</t>
  </si>
  <si>
    <t>Preço único, tributo embutido</t>
  </si>
  <si>
    <t>(-) Crédito recuperado hoje</t>
  </si>
  <si>
    <t>PIS/COFINS presumido</t>
  </si>
  <si>
    <t>→ Custo líquido do cliente HOJE</t>
  </si>
  <si>
    <t>Inclui crédito presumido 'inflado' do sistema atual</t>
  </si>
  <si>
    <t>Se o atacadista FICAR no DAS e NÃO der desconto — o cliente perde</t>
  </si>
  <si>
    <t>Preço pago (mesmo de hoje)</t>
  </si>
  <si>
    <t>Atacadista mantém preço</t>
  </si>
  <si>
    <t>(-) Crédito recuperado no DAS</t>
  </si>
  <si>
    <t>→ Custo líquido do cliente</t>
  </si>
  <si>
    <t>Subiu!</t>
  </si>
  <si>
    <t>SOBRECUSTO para o cliente vs. hoje</t>
  </si>
  <si>
    <t>Quanto o cliente perde por R$100</t>
  </si>
  <si>
    <t>Quanto de DESCONTO o atacadista no DAS teria que dar para neutralizar a perda</t>
  </si>
  <si>
    <t>Preço de equilíbrio (custo líq. cliente = hoje)</t>
  </si>
  <si>
    <t>Preço tal que custo líquido volta ao de hoje</t>
  </si>
  <si>
    <t>DESCONTO necessário (R$ por R$100)</t>
  </si>
  <si>
    <t>Quanto o preço precisa cair</t>
  </si>
  <si>
    <t>DESCONTO necessário (%)</t>
  </si>
  <si>
    <t>% de desconto no preço</t>
  </si>
  <si>
    <t>Margem bruta atual do atacadista</t>
  </si>
  <si>
    <t>Para comparar com o desconto</t>
  </si>
  <si>
    <t>Desconto consome desta fatia da margem</t>
  </si>
  <si>
    <t>% da margem que o desconto devora</t>
  </si>
  <si>
    <t>Se o atacadista vai para o HÍBRIDO — sem precisar de desconto</t>
  </si>
  <si>
    <t>Preço líquido da mercadoria</t>
  </si>
  <si>
    <t>Mesmo valor base</t>
  </si>
  <si>
    <t>(+) IBS/CBS destacado POR FORA</t>
  </si>
  <si>
    <t>Adicionado por cima na nota</t>
  </si>
  <si>
    <t>Preço total na nota (o cliente desembolsa)</t>
  </si>
  <si>
    <t>Preço + imposto por fora</t>
  </si>
  <si>
    <t>(-) Crédito cheio de IBS/CBS recuperado</t>
  </si>
  <si>
    <t>Cliente credita 100% do destacado</t>
  </si>
  <si>
    <t>→ Custo líquido do cliente no HÍBRIDO</t>
  </si>
  <si>
    <t>Volta a ser só a mercadoria</t>
  </si>
  <si>
    <t>Custo líquido vs. concorrente do regime regular</t>
  </si>
  <si>
    <t>Empata com o concorrente: SEM desconto necessário</t>
  </si>
  <si>
    <t>repartição PIS+COFINS do Anexo I</t>
  </si>
  <si>
    <t>repartição ICMS do Anexo I</t>
  </si>
  <si>
    <t>IVA dual de referência 26,5%</t>
  </si>
  <si>
    <t>NOTA METODOLÓGICA: valores tributários são parâmetros de referência da transição da LC 214/2025 (IBS/CBS plenos a partir de 2033; alíquota de referência 26,5%). As alíquotas efetivas do Simples e a repartição por tributo dependem da faixa do RBT12 e devem ser confirmadas no PGDAS. Dados de despesas/folha são fictícios.</t>
  </si>
  <si>
    <t>Encargos s/ folha (FGTS, etc. 12%)</t>
  </si>
  <si>
    <t>Se o atacadista permanecer no DAS, o cliente Lucro Real deixa de tomar 9,25% e passa a tomar apenas 1,1% de crédito — uma perda de 8 pontos sobre o valor da compra. Para neutralizar, o cliente exigirá desconto equivalente, ou trocará de fornecedor por um do regime regular. No regime HÍBRIDO, o crédito sobe para 26,5% (cheio), tornando o atacadista MAIS competitivo que hoje perante clientes que se creditam.</t>
  </si>
  <si>
    <t>IBS/CBS embutido 1,1% (baixo)</t>
  </si>
  <si>
    <t>RESUMO (DAS 2027): a empresa recolhe TUDO numa guia (R$ do passo 6). Simples administrativamente, mas o cliente Lucro Real recebe crédito de IBS/CBS irrisório (1,1%, passo 9-10). Para um atacadista B2B isso destrói competitividade, pois o concorrente do regime regular entrega crédito cheio.</t>
  </si>
  <si>
    <t>CONCLUSÃO COMERCIAL: o crédito de 9,25% de hoje é em parte ARTIFICIAL — o cliente credita mais do que o atacadista do Simples efetivamente paga. A reforma encerra esse benefício para todos. O que o atacadista controla é a COMPARAÇÃO COM O CONCORRENTE: se ficar no DAS, entrega só 1,1% de crédito e fica em desvantagem — para empatar com um concorrente do regime regular precisaria dar 8% de desconto, devorando 54% da margem (passos 13 a 16). No HÍBRIDO, o IBS/CBS é destacado POR FORA e o cliente credita 100%: o custo líquido do cliente é só a mercadoria, igual ao do concorrente regular — SEM desconto e SEM corroer margem (passos 17 a 22). Tudo por R$100 de mercadoria; ajuste o preço base (amarelo) e alíquotas na aba Premissas. Dados fictícios.</t>
  </si>
  <si>
    <t>Sobre RBT12 R$3,6mi → alíquota efetiva do Anexo I</t>
  </si>
  <si>
    <t>Só 1,1%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</si>
</sst>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"/>
    <numFmt numFmtId="165" formatCode="0.0%"/>
    <numFmt numFmtId="166" formatCode="&quot;R$&quot;\ #,##0.00"/>
    <numFmt numFmtId="167" formatCode="0.000%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name val="Calibri"/>
    </font>
    <font>
      <b/>
      <sz val="12"/>
      <color rgb="FFFFFFFF"/>
      <name val="Calibri"/>
    </font>
    <font>
      <sz val="10"/>
      <name val="Calibri"/>
    </font>
    <font>
      <i/>
      <sz val="9"/>
      <color rgb="FF666666"/>
      <name val="Calibri"/>
    </font>
    <font>
      <i/>
      <sz val="9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name val="Calibri"/>
    </font>
    <font>
      <b/>
      <sz val="9"/>
      <color rgb="FF2E7D32"/>
      <name val="Calibri"/>
    </font>
    <font>
      <i/>
      <sz val="8"/>
      <name val="Calibri"/>
    </font>
    <font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  <fill>
      <patternFill patternType="solid">
        <fgColor rgb="FFF4B6B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C6E0B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164" fontId="4" fillId="4" borderId="0" xfId="0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164" fontId="4" fillId="5" borderId="0" xfId="0" applyNumberFormat="1" applyFont="1" applyFill="1" applyAlignment="1">
      <alignment horizontal="right"/>
    </xf>
    <xf numFmtId="165" fontId="4" fillId="6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164" fontId="4" fillId="6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0" fontId="4" fillId="6" borderId="0" xfId="0" applyNumberFormat="1" applyFont="1" applyFill="1" applyAlignment="1">
      <alignment horizontal="right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/>
    <xf numFmtId="166" fontId="0" fillId="0" borderId="0" xfId="0" applyNumberFormat="1" applyAlignment="1">
      <alignment horizontal="right"/>
    </xf>
    <xf numFmtId="166" fontId="8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8" fillId="6" borderId="0" xfId="0" applyFont="1" applyFill="1"/>
    <xf numFmtId="166" fontId="0" fillId="6" borderId="0" xfId="0" applyNumberFormat="1" applyFill="1" applyAlignment="1">
      <alignment horizontal="right"/>
    </xf>
    <xf numFmtId="166" fontId="8" fillId="6" borderId="0" xfId="0" applyNumberFormat="1" applyFont="1" applyFill="1" applyAlignment="1">
      <alignment horizontal="right"/>
    </xf>
    <xf numFmtId="10" fontId="0" fillId="6" borderId="0" xfId="0" applyNumberFormat="1" applyFill="1" applyAlignment="1">
      <alignment horizontal="right"/>
    </xf>
    <xf numFmtId="166" fontId="8" fillId="8" borderId="0" xfId="0" applyNumberFormat="1" applyFont="1" applyFill="1" applyAlignment="1">
      <alignment horizontal="right"/>
    </xf>
    <xf numFmtId="0" fontId="9" fillId="0" borderId="0" xfId="0" applyFont="1"/>
    <xf numFmtId="164" fontId="8" fillId="9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6" fontId="8" fillId="4" borderId="0" xfId="0" applyNumberFormat="1" applyFont="1" applyFill="1" applyAlignment="1">
      <alignment horizontal="right"/>
    </xf>
    <xf numFmtId="0" fontId="10" fillId="0" borderId="0" xfId="0" applyFont="1"/>
    <xf numFmtId="0" fontId="5" fillId="0" borderId="0" xfId="0" applyFont="1"/>
    <xf numFmtId="167" fontId="4" fillId="0" borderId="0" xfId="0" applyNumberFormat="1" applyFont="1" applyAlignment="1">
      <alignment horizontal="right"/>
    </xf>
    <xf numFmtId="164" fontId="8" fillId="4" borderId="0" xfId="0" applyNumberFormat="1" applyFont="1" applyFill="1" applyAlignment="1">
      <alignment horizontal="right"/>
    </xf>
    <xf numFmtId="164" fontId="8" fillId="8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8" borderId="0" xfId="0" applyNumberFormat="1" applyFill="1" applyAlignment="1">
      <alignment horizontal="right"/>
    </xf>
    <xf numFmtId="166" fontId="0" fillId="8" borderId="0" xfId="0" applyNumberFormat="1" applyFill="1" applyAlignment="1">
      <alignment horizontal="right"/>
    </xf>
    <xf numFmtId="166" fontId="4" fillId="6" borderId="0" xfId="0" applyNumberFormat="1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10" fontId="4" fillId="4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6" fillId="7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9"/>
  <sheetViews>
    <sheetView showGridLines="0" tabSelected="1" workbookViewId="0">
      <selection activeCell="C28" sqref="C28:C30"/>
    </sheetView>
  </sheetViews>
  <sheetFormatPr defaultRowHeight="15" x14ac:dyDescent="0.25"/>
  <cols>
    <col min="1" max="1" width="3" customWidth="1"/>
    <col min="2" max="2" width="54.42578125" customWidth="1"/>
    <col min="3" max="3" width="16" customWidth="1"/>
    <col min="4" max="4" width="3" customWidth="1"/>
    <col min="5" max="5" width="55" customWidth="1"/>
  </cols>
  <sheetData>
    <row r="2" spans="2:5" ht="27.95" customHeight="1" x14ac:dyDescent="0.25">
      <c r="B2" s="36" t="s">
        <v>0</v>
      </c>
      <c r="C2" s="37"/>
      <c r="D2" s="37"/>
      <c r="E2" s="37"/>
    </row>
    <row r="3" spans="2:5" x14ac:dyDescent="0.25">
      <c r="B3" s="40" t="s">
        <v>1</v>
      </c>
      <c r="C3" s="37"/>
      <c r="D3" s="37"/>
      <c r="E3" s="37"/>
    </row>
    <row r="5" spans="2:5" ht="20.100000000000001" customHeight="1" x14ac:dyDescent="0.25">
      <c r="B5" s="39" t="s">
        <v>2</v>
      </c>
      <c r="C5" s="37"/>
      <c r="D5" s="37"/>
      <c r="E5" s="37"/>
    </row>
    <row r="7" spans="2:5" x14ac:dyDescent="0.25">
      <c r="B7" s="1" t="s">
        <v>3</v>
      </c>
      <c r="C7" s="2">
        <v>300000</v>
      </c>
      <c r="E7" s="3" t="s">
        <v>4</v>
      </c>
    </row>
    <row r="8" spans="2:5" x14ac:dyDescent="0.25">
      <c r="B8" s="1" t="s">
        <v>5</v>
      </c>
      <c r="C8" s="4">
        <f>C7*12</f>
        <v>3600000</v>
      </c>
      <c r="E8" s="3" t="s">
        <v>6</v>
      </c>
    </row>
    <row r="9" spans="2:5" x14ac:dyDescent="0.25">
      <c r="B9" s="1" t="s">
        <v>7</v>
      </c>
      <c r="C9" s="5">
        <v>0.8</v>
      </c>
      <c r="E9" s="3" t="s">
        <v>8</v>
      </c>
    </row>
    <row r="10" spans="2:5" x14ac:dyDescent="0.25">
      <c r="B10" s="1" t="s">
        <v>9</v>
      </c>
      <c r="C10" s="6">
        <v>0.2</v>
      </c>
      <c r="E10" s="3" t="s">
        <v>10</v>
      </c>
    </row>
    <row r="11" spans="2:5" x14ac:dyDescent="0.25">
      <c r="B11" s="1" t="s">
        <v>11</v>
      </c>
      <c r="C11" s="5">
        <v>0.15</v>
      </c>
      <c r="E11" s="3" t="s">
        <v>12</v>
      </c>
    </row>
    <row r="13" spans="2:5" ht="20.100000000000001" customHeight="1" x14ac:dyDescent="0.25">
      <c r="B13" s="39" t="s">
        <v>13</v>
      </c>
      <c r="C13" s="37"/>
      <c r="D13" s="37"/>
      <c r="E13" s="37"/>
    </row>
    <row r="15" spans="2:5" x14ac:dyDescent="0.25">
      <c r="B15" s="1" t="s">
        <v>14</v>
      </c>
      <c r="C15" s="4">
        <f>C16+C17</f>
        <v>255000</v>
      </c>
      <c r="E15" s="3" t="s">
        <v>15</v>
      </c>
    </row>
    <row r="16" spans="2:5" x14ac:dyDescent="0.25">
      <c r="B16" s="1" t="s">
        <v>16</v>
      </c>
      <c r="C16" s="4">
        <v>178500</v>
      </c>
      <c r="E16" s="3" t="s">
        <v>17</v>
      </c>
    </row>
    <row r="17" spans="2:5" x14ac:dyDescent="0.25">
      <c r="B17" s="1" t="s">
        <v>18</v>
      </c>
      <c r="C17" s="4">
        <v>76500</v>
      </c>
      <c r="E17" s="3" t="s">
        <v>19</v>
      </c>
    </row>
    <row r="18" spans="2:5" x14ac:dyDescent="0.25">
      <c r="B18" s="1" t="s">
        <v>20</v>
      </c>
      <c r="C18" s="7">
        <v>22000</v>
      </c>
      <c r="E18" s="3" t="s">
        <v>21</v>
      </c>
    </row>
    <row r="19" spans="2:5" x14ac:dyDescent="0.25">
      <c r="B19" s="1" t="s">
        <v>181</v>
      </c>
      <c r="C19" s="4">
        <f>C18*0.12</f>
        <v>2640</v>
      </c>
      <c r="E19" s="3" t="s">
        <v>22</v>
      </c>
    </row>
    <row r="20" spans="2:5" x14ac:dyDescent="0.25">
      <c r="B20" s="1" t="s">
        <v>23</v>
      </c>
      <c r="C20" s="7">
        <v>8000</v>
      </c>
      <c r="E20" s="3" t="s">
        <v>24</v>
      </c>
    </row>
    <row r="21" spans="2:5" x14ac:dyDescent="0.25">
      <c r="B21" s="1" t="s">
        <v>25</v>
      </c>
      <c r="C21" s="7">
        <v>9000</v>
      </c>
      <c r="E21" s="3" t="s">
        <v>26</v>
      </c>
    </row>
    <row r="22" spans="2:5" x14ac:dyDescent="0.25">
      <c r="B22" s="1" t="s">
        <v>27</v>
      </c>
      <c r="C22" s="7">
        <v>4500</v>
      </c>
      <c r="E22" s="3" t="s">
        <v>26</v>
      </c>
    </row>
    <row r="23" spans="2:5" x14ac:dyDescent="0.25">
      <c r="B23" s="1" t="s">
        <v>28</v>
      </c>
      <c r="C23" s="7">
        <v>6000</v>
      </c>
      <c r="E23" s="3" t="s">
        <v>26</v>
      </c>
    </row>
    <row r="24" spans="2:5" x14ac:dyDescent="0.25">
      <c r="B24" s="1" t="s">
        <v>29</v>
      </c>
      <c r="C24" s="8">
        <v>5000</v>
      </c>
      <c r="E24" s="3" t="s">
        <v>30</v>
      </c>
    </row>
    <row r="26" spans="2:5" ht="20.100000000000001" customHeight="1" x14ac:dyDescent="0.25">
      <c r="B26" s="39" t="s">
        <v>31</v>
      </c>
      <c r="C26" s="37"/>
      <c r="D26" s="37"/>
      <c r="E26" s="37"/>
    </row>
    <row r="28" spans="2:5" x14ac:dyDescent="0.25">
      <c r="B28" s="1" t="s">
        <v>32</v>
      </c>
      <c r="C28" s="9">
        <v>0.1187</v>
      </c>
      <c r="E28" s="3" t="s">
        <v>186</v>
      </c>
    </row>
    <row r="29" spans="2:5" x14ac:dyDescent="0.25">
      <c r="B29" s="1" t="s">
        <v>33</v>
      </c>
      <c r="C29" s="9">
        <v>1.84E-2</v>
      </c>
      <c r="E29" s="3" t="s">
        <v>177</v>
      </c>
    </row>
    <row r="30" spans="2:5" x14ac:dyDescent="0.25">
      <c r="B30" s="1" t="s">
        <v>34</v>
      </c>
      <c r="C30" s="9">
        <v>3.9699999999999999E-2</v>
      </c>
      <c r="E30" s="3" t="s">
        <v>178</v>
      </c>
    </row>
    <row r="31" spans="2:5" x14ac:dyDescent="0.25">
      <c r="B31" s="1" t="s">
        <v>35</v>
      </c>
      <c r="C31" s="9">
        <v>3.6499999999999998E-2</v>
      </c>
      <c r="E31" s="3" t="s">
        <v>36</v>
      </c>
    </row>
    <row r="32" spans="2:5" x14ac:dyDescent="0.25">
      <c r="B32" s="1" t="s">
        <v>37</v>
      </c>
      <c r="C32" s="9">
        <v>0.26500000000000001</v>
      </c>
      <c r="E32" s="3" t="s">
        <v>179</v>
      </c>
    </row>
    <row r="33" spans="2:5" x14ac:dyDescent="0.25">
      <c r="B33" s="1" t="s">
        <v>38</v>
      </c>
      <c r="C33" s="9">
        <v>8.7999999999999995E-2</v>
      </c>
      <c r="E33" s="3" t="s">
        <v>39</v>
      </c>
    </row>
    <row r="34" spans="2:5" x14ac:dyDescent="0.25">
      <c r="B34" s="1" t="s">
        <v>40</v>
      </c>
      <c r="C34" s="9">
        <v>0.17699999999999999</v>
      </c>
      <c r="E34" s="3" t="s">
        <v>41</v>
      </c>
    </row>
    <row r="35" spans="2:5" x14ac:dyDescent="0.25">
      <c r="B35" s="1" t="s">
        <v>42</v>
      </c>
      <c r="C35" s="9">
        <v>1.84E-2</v>
      </c>
      <c r="E35" s="3" t="s">
        <v>43</v>
      </c>
    </row>
    <row r="37" spans="2:5" ht="15" customHeight="1" x14ac:dyDescent="0.25">
      <c r="B37" s="38" t="s">
        <v>180</v>
      </c>
      <c r="C37" s="37"/>
      <c r="D37" s="37"/>
      <c r="E37" s="37"/>
    </row>
    <row r="38" spans="2:5" ht="15" customHeight="1" x14ac:dyDescent="0.25">
      <c r="B38" s="37"/>
      <c r="C38" s="37"/>
      <c r="D38" s="37"/>
      <c r="E38" s="37"/>
    </row>
    <row r="39" spans="2:5" ht="15" customHeight="1" x14ac:dyDescent="0.25">
      <c r="B39" s="37"/>
      <c r="C39" s="37"/>
      <c r="D39" s="37"/>
      <c r="E39" s="37"/>
    </row>
  </sheetData>
  <mergeCells count="6">
    <mergeCell ref="B2:E2"/>
    <mergeCell ref="B37:E39"/>
    <mergeCell ref="B26:E26"/>
    <mergeCell ref="B13:E13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4"/>
  <sheetViews>
    <sheetView showGridLines="0" workbookViewId="0">
      <selection activeCell="G18" sqref="G18"/>
    </sheetView>
  </sheetViews>
  <sheetFormatPr defaultRowHeight="15" x14ac:dyDescent="0.25"/>
  <cols>
    <col min="1" max="1" width="3" customWidth="1"/>
    <col min="2" max="2" width="40" customWidth="1"/>
    <col min="3" max="5" width="18" customWidth="1"/>
  </cols>
  <sheetData>
    <row r="2" spans="2:5" ht="27.95" customHeight="1" x14ac:dyDescent="0.25">
      <c r="B2" s="36" t="s">
        <v>54</v>
      </c>
      <c r="C2" s="37"/>
      <c r="D2" s="37"/>
      <c r="E2" s="37"/>
    </row>
    <row r="4" spans="2:5" ht="30" customHeight="1" x14ac:dyDescent="0.25">
      <c r="B4" s="10" t="s">
        <v>55</v>
      </c>
      <c r="C4" s="10" t="s">
        <v>56</v>
      </c>
      <c r="D4" s="10" t="s">
        <v>57</v>
      </c>
      <c r="E4" s="10" t="s">
        <v>58</v>
      </c>
    </row>
    <row r="5" spans="2:5" x14ac:dyDescent="0.25">
      <c r="B5" s="11" t="s">
        <v>59</v>
      </c>
      <c r="C5" s="21">
        <f>Premissas!$C$7</f>
        <v>300000</v>
      </c>
      <c r="D5" s="21">
        <f>Premissas!$C$7</f>
        <v>300000</v>
      </c>
      <c r="E5" s="21">
        <f>Premissas!$C$7</f>
        <v>300000</v>
      </c>
    </row>
    <row r="7" spans="2:5" x14ac:dyDescent="0.25">
      <c r="B7" s="1" t="s">
        <v>60</v>
      </c>
      <c r="C7" s="8">
        <f>Premissas!$C$7*Premissas!$C$28</f>
        <v>35610</v>
      </c>
    </row>
    <row r="8" spans="2:5" x14ac:dyDescent="0.25">
      <c r="B8" s="1" t="s">
        <v>61</v>
      </c>
      <c r="D8" s="8">
        <f>Premissas!$C$7*Premissas!$C$28</f>
        <v>35610</v>
      </c>
    </row>
    <row r="9" spans="2:5" x14ac:dyDescent="0.25">
      <c r="B9" s="1" t="s">
        <v>62</v>
      </c>
      <c r="E9" s="8">
        <f>Premissas!$C$7*(Premissas!$C$28-Premissas!$C$29-Premissas!$C$30)</f>
        <v>18180</v>
      </c>
    </row>
    <row r="11" spans="2:5" x14ac:dyDescent="0.25">
      <c r="B11" s="1" t="s">
        <v>63</v>
      </c>
      <c r="E11" s="8">
        <f>Premissas!$C$7*Premissas!$C$32</f>
        <v>79500</v>
      </c>
    </row>
    <row r="12" spans="2:5" x14ac:dyDescent="0.25">
      <c r="B12" s="1" t="s">
        <v>64</v>
      </c>
      <c r="E12" s="8">
        <f>-(Premissas!C16+Premissas!C21+Premissas!C22+Premissas!C23)*Premissas!$C$32</f>
        <v>-52470</v>
      </c>
    </row>
    <row r="13" spans="2:5" x14ac:dyDescent="0.25">
      <c r="B13" s="11" t="s">
        <v>65</v>
      </c>
      <c r="E13" s="22">
        <f>E11+E12</f>
        <v>27030</v>
      </c>
    </row>
    <row r="15" spans="2:5" x14ac:dyDescent="0.25">
      <c r="B15" s="11" t="s">
        <v>66</v>
      </c>
      <c r="C15" s="21">
        <f>C7</f>
        <v>35610</v>
      </c>
      <c r="D15" s="21">
        <f>D8</f>
        <v>35610</v>
      </c>
      <c r="E15" s="21">
        <f>E9+E13</f>
        <v>45210</v>
      </c>
    </row>
    <row r="16" spans="2:5" x14ac:dyDescent="0.25">
      <c r="B16" s="1" t="s">
        <v>67</v>
      </c>
      <c r="C16" s="14">
        <f>C15/C5</f>
        <v>0.1187</v>
      </c>
      <c r="D16" s="14">
        <f>D15/D5</f>
        <v>0.1187</v>
      </c>
      <c r="E16" s="14">
        <f>E15/E5</f>
        <v>0.1507</v>
      </c>
    </row>
    <row r="18" spans="2:5" ht="20.100000000000001" customHeight="1" x14ac:dyDescent="0.25">
      <c r="B18" s="39" t="s">
        <v>68</v>
      </c>
      <c r="C18" s="37"/>
      <c r="D18" s="37"/>
      <c r="E18" s="37"/>
    </row>
    <row r="19" spans="2:5" x14ac:dyDescent="0.25">
      <c r="B19" s="1" t="s">
        <v>69</v>
      </c>
      <c r="C19" s="13">
        <f>Premissas!$C$31*100</f>
        <v>3.65</v>
      </c>
      <c r="D19" s="23">
        <f>Premissas!$C$35*100</f>
        <v>1.8399999999999999</v>
      </c>
      <c r="E19" s="19">
        <f>Premissas!$C$32*100</f>
        <v>26.5</v>
      </c>
    </row>
    <row r="21" spans="2:5" ht="15.95" customHeight="1" x14ac:dyDescent="0.25">
      <c r="B21" s="41" t="s">
        <v>70</v>
      </c>
      <c r="C21" s="37"/>
      <c r="D21" s="37"/>
      <c r="E21" s="37"/>
    </row>
    <row r="22" spans="2:5" ht="15.95" customHeight="1" x14ac:dyDescent="0.25">
      <c r="B22" s="37"/>
      <c r="C22" s="37"/>
      <c r="D22" s="37"/>
      <c r="E22" s="37"/>
    </row>
    <row r="23" spans="2:5" ht="15.95" customHeight="1" x14ac:dyDescent="0.25">
      <c r="B23" s="37"/>
      <c r="C23" s="37"/>
      <c r="D23" s="37"/>
      <c r="E23" s="37"/>
    </row>
    <row r="24" spans="2:5" ht="15.95" customHeight="1" x14ac:dyDescent="0.25">
      <c r="B24" s="37"/>
      <c r="C24" s="37"/>
      <c r="D24" s="37"/>
      <c r="E24" s="37"/>
    </row>
  </sheetData>
  <mergeCells count="3">
    <mergeCell ref="B18:E18"/>
    <mergeCell ref="B2:E2"/>
    <mergeCell ref="B21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5"/>
  <sheetViews>
    <sheetView showGridLines="0" workbookViewId="0">
      <selection activeCell="B20" sqref="B20"/>
    </sheetView>
  </sheetViews>
  <sheetFormatPr defaultRowHeight="15" x14ac:dyDescent="0.25"/>
  <cols>
    <col min="1" max="1" width="3" customWidth="1"/>
    <col min="2" max="2" width="44.5703125" customWidth="1"/>
    <col min="3" max="4" width="18" customWidth="1"/>
    <col min="5" max="5" width="16" customWidth="1"/>
  </cols>
  <sheetData>
    <row r="2" spans="2:5" ht="27.95" customHeight="1" x14ac:dyDescent="0.25">
      <c r="B2" s="36" t="s">
        <v>44</v>
      </c>
      <c r="C2" s="37"/>
      <c r="D2" s="37"/>
      <c r="E2" s="37"/>
    </row>
    <row r="4" spans="2:5" ht="20.100000000000001" customHeight="1" x14ac:dyDescent="0.25">
      <c r="B4" s="39" t="s">
        <v>45</v>
      </c>
      <c r="C4" s="37"/>
      <c r="D4" s="37"/>
      <c r="E4" s="37"/>
    </row>
    <row r="6" spans="2:5" ht="30" customHeight="1" x14ac:dyDescent="0.25">
      <c r="B6" s="10" t="s">
        <v>46</v>
      </c>
      <c r="C6" s="10" t="s">
        <v>47</v>
      </c>
      <c r="D6" s="10" t="s">
        <v>48</v>
      </c>
      <c r="E6" s="10" t="s">
        <v>49</v>
      </c>
    </row>
    <row r="7" spans="2:5" x14ac:dyDescent="0.25">
      <c r="B7" s="11" t="s">
        <v>50</v>
      </c>
      <c r="C7" s="12">
        <v>100</v>
      </c>
      <c r="D7" s="13">
        <f>C7*Premissas!$C$31</f>
        <v>3.65</v>
      </c>
      <c r="E7" s="14">
        <f>D7/C7</f>
        <v>3.6499999999999998E-2</v>
      </c>
    </row>
    <row r="8" spans="2:5" x14ac:dyDescent="0.25">
      <c r="B8" s="15" t="s">
        <v>51</v>
      </c>
      <c r="C8" s="16">
        <v>100</v>
      </c>
      <c r="D8" s="17">
        <f>C8*Premissas!$C$35</f>
        <v>1.8399999999999999</v>
      </c>
      <c r="E8" s="18">
        <f>D8/C8</f>
        <v>1.84E-2</v>
      </c>
    </row>
    <row r="9" spans="2:5" x14ac:dyDescent="0.25">
      <c r="B9" s="11" t="s">
        <v>52</v>
      </c>
      <c r="C9" s="12">
        <v>100</v>
      </c>
      <c r="D9" s="19">
        <f>C9*Premissas!$C$32</f>
        <v>26.5</v>
      </c>
      <c r="E9" s="14">
        <f>D9/C9</f>
        <v>0.26500000000000001</v>
      </c>
    </row>
    <row r="11" spans="2:5" x14ac:dyDescent="0.25">
      <c r="B11" s="20" t="s">
        <v>53</v>
      </c>
    </row>
    <row r="12" spans="2:5" ht="15.95" customHeight="1" x14ac:dyDescent="0.25">
      <c r="B12" s="41" t="s">
        <v>182</v>
      </c>
      <c r="C12" s="37"/>
      <c r="D12" s="37"/>
      <c r="E12" s="37"/>
    </row>
    <row r="13" spans="2:5" ht="15.95" customHeight="1" x14ac:dyDescent="0.25">
      <c r="B13" s="37"/>
      <c r="C13" s="37"/>
      <c r="D13" s="37"/>
      <c r="E13" s="37"/>
    </row>
    <row r="14" spans="2:5" ht="15.95" customHeight="1" x14ac:dyDescent="0.25">
      <c r="B14" s="37"/>
      <c r="C14" s="37"/>
      <c r="D14" s="37"/>
      <c r="E14" s="37"/>
    </row>
    <row r="15" spans="2:5" ht="15.95" customHeight="1" x14ac:dyDescent="0.25">
      <c r="B15" s="37"/>
      <c r="C15" s="37"/>
      <c r="D15" s="37"/>
      <c r="E15" s="37"/>
    </row>
  </sheetData>
  <mergeCells count="3">
    <mergeCell ref="B12:E15"/>
    <mergeCell ref="B2:E2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1"/>
  <sheetViews>
    <sheetView showGridLines="0" workbookViewId="0">
      <selection activeCell="D16" sqref="D16"/>
    </sheetView>
  </sheetViews>
  <sheetFormatPr defaultRowHeight="15" x14ac:dyDescent="0.25"/>
  <cols>
    <col min="1" max="1" width="3" customWidth="1"/>
    <col min="2" max="2" width="6" customWidth="1"/>
    <col min="3" max="3" width="42" customWidth="1"/>
    <col min="4" max="4" width="16" customWidth="1"/>
    <col min="5" max="5" width="40" customWidth="1"/>
  </cols>
  <sheetData>
    <row r="2" spans="2:5" ht="27.95" customHeight="1" x14ac:dyDescent="0.25">
      <c r="B2" s="36" t="s">
        <v>71</v>
      </c>
      <c r="C2" s="37"/>
      <c r="D2" s="37"/>
      <c r="E2" s="37"/>
    </row>
    <row r="4" spans="2:5" ht="20.100000000000001" customHeight="1" x14ac:dyDescent="0.25">
      <c r="B4" s="39" t="s">
        <v>72</v>
      </c>
      <c r="C4" s="37"/>
      <c r="D4" s="37"/>
      <c r="E4" s="37"/>
    </row>
    <row r="6" spans="2:5" x14ac:dyDescent="0.25">
      <c r="B6" s="24">
        <v>1</v>
      </c>
      <c r="C6" s="1" t="s">
        <v>59</v>
      </c>
      <c r="D6" s="8">
        <f>Premissas!$C$7</f>
        <v>300000</v>
      </c>
      <c r="E6" s="25" t="s">
        <v>73</v>
      </c>
    </row>
    <row r="7" spans="2:5" x14ac:dyDescent="0.25">
      <c r="B7" s="24">
        <v>2</v>
      </c>
      <c r="C7" s="1" t="s">
        <v>74</v>
      </c>
      <c r="D7" s="8">
        <f>Premissas!$C$8</f>
        <v>3600000</v>
      </c>
      <c r="E7" s="25" t="s">
        <v>75</v>
      </c>
    </row>
    <row r="8" spans="2:5" x14ac:dyDescent="0.25">
      <c r="B8" s="24">
        <v>3</v>
      </c>
      <c r="C8" s="1" t="s">
        <v>76</v>
      </c>
      <c r="D8" s="9">
        <v>0.14299999999999999</v>
      </c>
      <c r="E8" s="25" t="s">
        <v>77</v>
      </c>
    </row>
    <row r="9" spans="2:5" x14ac:dyDescent="0.25">
      <c r="B9" s="24">
        <v>4</v>
      </c>
      <c r="C9" s="1" t="s">
        <v>78</v>
      </c>
      <c r="D9" s="7">
        <v>87300</v>
      </c>
      <c r="E9" s="25" t="s">
        <v>79</v>
      </c>
    </row>
    <row r="10" spans="2:5" x14ac:dyDescent="0.25">
      <c r="B10" s="24">
        <v>5</v>
      </c>
      <c r="C10" s="1" t="s">
        <v>80</v>
      </c>
      <c r="D10" s="26">
        <f>(D7*D8-D9)/D7</f>
        <v>0.11874999999999998</v>
      </c>
      <c r="E10" s="25" t="s">
        <v>81</v>
      </c>
    </row>
    <row r="11" spans="2:5" x14ac:dyDescent="0.25">
      <c r="B11" s="24">
        <v>6</v>
      </c>
      <c r="C11" s="11" t="s">
        <v>82</v>
      </c>
      <c r="D11" s="21">
        <f>D6*D10</f>
        <v>35624.999999999993</v>
      </c>
      <c r="E11" s="25" t="s">
        <v>83</v>
      </c>
    </row>
    <row r="13" spans="2:5" ht="20.100000000000001" customHeight="1" x14ac:dyDescent="0.25">
      <c r="B13" s="39" t="s">
        <v>84</v>
      </c>
      <c r="C13" s="37"/>
      <c r="D13" s="37"/>
      <c r="E13" s="37"/>
    </row>
    <row r="15" spans="2:5" x14ac:dyDescent="0.25">
      <c r="B15" s="24">
        <v>7</v>
      </c>
      <c r="C15" s="1" t="s">
        <v>85</v>
      </c>
      <c r="D15" s="8">
        <v>10200</v>
      </c>
      <c r="E15" s="25" t="s">
        <v>86</v>
      </c>
    </row>
    <row r="16" spans="2:5" x14ac:dyDescent="0.25">
      <c r="B16" s="24">
        <v>8</v>
      </c>
      <c r="C16" s="1" t="s">
        <v>87</v>
      </c>
      <c r="D16" s="8">
        <f>Premissas!$C$35*D6</f>
        <v>5520</v>
      </c>
      <c r="E16" s="25" t="s">
        <v>183</v>
      </c>
    </row>
    <row r="17" spans="2:5" x14ac:dyDescent="0.25">
      <c r="B17" s="24">
        <v>9</v>
      </c>
      <c r="C17" s="11" t="s">
        <v>88</v>
      </c>
      <c r="D17" s="27">
        <f>D16</f>
        <v>5520</v>
      </c>
      <c r="E17" s="25" t="s">
        <v>89</v>
      </c>
    </row>
    <row r="18" spans="2:5" x14ac:dyDescent="0.25">
      <c r="B18" s="24">
        <v>10</v>
      </c>
      <c r="C18" s="11" t="s">
        <v>90</v>
      </c>
      <c r="D18" s="13">
        <f>D17/D6*100</f>
        <v>1.8399999999999999</v>
      </c>
      <c r="E18" s="25" t="s">
        <v>91</v>
      </c>
    </row>
    <row r="20" spans="2:5" ht="15.95" customHeight="1" x14ac:dyDescent="0.25">
      <c r="B20" s="41" t="s">
        <v>184</v>
      </c>
      <c r="C20" s="37"/>
      <c r="D20" s="37"/>
      <c r="E20" s="37"/>
    </row>
    <row r="21" spans="2:5" ht="30" customHeight="1" x14ac:dyDescent="0.25">
      <c r="B21" s="37"/>
      <c r="C21" s="37"/>
      <c r="D21" s="37"/>
      <c r="E21" s="37"/>
    </row>
  </sheetData>
  <mergeCells count="4">
    <mergeCell ref="B20:E21"/>
    <mergeCell ref="B13:E13"/>
    <mergeCell ref="B2:E2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34"/>
  <sheetViews>
    <sheetView showGridLines="0" topLeftCell="A13" workbookViewId="0">
      <selection activeCell="E23" sqref="E23"/>
    </sheetView>
  </sheetViews>
  <sheetFormatPr defaultRowHeight="15" x14ac:dyDescent="0.25"/>
  <cols>
    <col min="1" max="1" width="3" customWidth="1"/>
    <col min="2" max="2" width="6" customWidth="1"/>
    <col min="3" max="3" width="42" customWidth="1"/>
    <col min="4" max="4" width="16" customWidth="1"/>
    <col min="5" max="5" width="40" customWidth="1"/>
  </cols>
  <sheetData>
    <row r="2" spans="2:5" ht="27.95" customHeight="1" x14ac:dyDescent="0.25">
      <c r="B2" s="36" t="s">
        <v>92</v>
      </c>
      <c r="C2" s="37"/>
      <c r="D2" s="37"/>
      <c r="E2" s="37"/>
    </row>
    <row r="4" spans="2:5" ht="20.100000000000001" customHeight="1" x14ac:dyDescent="0.25">
      <c r="B4" s="39" t="s">
        <v>93</v>
      </c>
      <c r="C4" s="37"/>
      <c r="D4" s="37"/>
      <c r="E4" s="37"/>
    </row>
    <row r="5" spans="2:5" ht="24" customHeight="1" x14ac:dyDescent="0.25">
      <c r="B5" s="43" t="s">
        <v>94</v>
      </c>
      <c r="C5" s="37"/>
      <c r="D5" s="37"/>
      <c r="E5" s="37"/>
    </row>
    <row r="6" spans="2:5" x14ac:dyDescent="0.25">
      <c r="B6" s="24">
        <v>1</v>
      </c>
      <c r="C6" s="1" t="s">
        <v>59</v>
      </c>
      <c r="D6" s="8">
        <f>Premissas!$C$7</f>
        <v>300000</v>
      </c>
      <c r="E6" s="25" t="s">
        <v>73</v>
      </c>
    </row>
    <row r="7" spans="2:5" x14ac:dyDescent="0.25">
      <c r="B7" s="24">
        <v>2</v>
      </c>
      <c r="C7" s="1" t="s">
        <v>95</v>
      </c>
      <c r="D7" s="8">
        <f>'Passo DAS 2027'!D11</f>
        <v>35624.999999999993</v>
      </c>
      <c r="E7" s="25" t="s">
        <v>96</v>
      </c>
    </row>
    <row r="8" spans="2:5" x14ac:dyDescent="0.25">
      <c r="B8" s="24">
        <v>3</v>
      </c>
      <c r="C8" s="1" t="s">
        <v>97</v>
      </c>
      <c r="D8" s="8">
        <f>-'Passo DAS 2027'!D16</f>
        <v>-5520</v>
      </c>
      <c r="E8" s="25" t="s">
        <v>98</v>
      </c>
    </row>
    <row r="9" spans="2:5" x14ac:dyDescent="0.25">
      <c r="B9" s="24">
        <v>4</v>
      </c>
      <c r="C9" s="1" t="s">
        <v>99</v>
      </c>
      <c r="D9" s="8">
        <f>-'Passo DAS 2027'!D16</f>
        <v>-5520</v>
      </c>
      <c r="E9" s="25" t="s">
        <v>100</v>
      </c>
    </row>
    <row r="10" spans="2:5" x14ac:dyDescent="0.25">
      <c r="B10" s="24">
        <v>5</v>
      </c>
      <c r="C10" s="11" t="s">
        <v>101</v>
      </c>
      <c r="D10" s="21">
        <f>D7+D8+D9</f>
        <v>24584.999999999993</v>
      </c>
      <c r="E10" s="25" t="s">
        <v>102</v>
      </c>
    </row>
    <row r="12" spans="2:5" ht="20.100000000000001" customHeight="1" x14ac:dyDescent="0.25">
      <c r="B12" s="39" t="s">
        <v>103</v>
      </c>
      <c r="C12" s="37"/>
      <c r="D12" s="37"/>
      <c r="E12" s="37"/>
    </row>
    <row r="13" spans="2:5" ht="24" customHeight="1" x14ac:dyDescent="0.25">
      <c r="B13" s="43" t="s">
        <v>104</v>
      </c>
      <c r="C13" s="37"/>
      <c r="D13" s="37"/>
      <c r="E13" s="37"/>
    </row>
    <row r="14" spans="2:5" x14ac:dyDescent="0.25">
      <c r="B14" s="24">
        <v>6</v>
      </c>
      <c r="C14" s="1" t="s">
        <v>105</v>
      </c>
      <c r="D14" s="8">
        <f>D6*0.088</f>
        <v>26400</v>
      </c>
      <c r="E14" s="25" t="s">
        <v>106</v>
      </c>
    </row>
    <row r="15" spans="2:5" x14ac:dyDescent="0.25">
      <c r="B15" s="24">
        <v>7</v>
      </c>
      <c r="C15" s="1" t="s">
        <v>107</v>
      </c>
      <c r="D15" s="8">
        <f>Premissas!C16+Premissas!C21+Premissas!C22+Premissas!C23</f>
        <v>198000</v>
      </c>
      <c r="E15" s="25" t="s">
        <v>108</v>
      </c>
    </row>
    <row r="16" spans="2:5" x14ac:dyDescent="0.25">
      <c r="B16" s="24">
        <v>8</v>
      </c>
      <c r="C16" s="1" t="s">
        <v>109</v>
      </c>
      <c r="D16" s="8">
        <f>-D15*0.088</f>
        <v>-17424</v>
      </c>
      <c r="E16" s="25" t="s">
        <v>110</v>
      </c>
    </row>
    <row r="17" spans="2:5" x14ac:dyDescent="0.25">
      <c r="B17" s="24">
        <v>9</v>
      </c>
      <c r="C17" s="11" t="s">
        <v>111</v>
      </c>
      <c r="D17" s="21">
        <f>D14+D16</f>
        <v>8976</v>
      </c>
      <c r="E17" s="25" t="s">
        <v>112</v>
      </c>
    </row>
    <row r="19" spans="2:5" ht="20.100000000000001" customHeight="1" x14ac:dyDescent="0.25">
      <c r="B19" s="39" t="s">
        <v>113</v>
      </c>
      <c r="C19" s="37"/>
      <c r="D19" s="37"/>
      <c r="E19" s="37"/>
    </row>
    <row r="21" spans="2:5" x14ac:dyDescent="0.25">
      <c r="B21" s="24">
        <v>10</v>
      </c>
      <c r="C21" s="11" t="s">
        <v>114</v>
      </c>
      <c r="D21" s="28">
        <f>D10+D17</f>
        <v>33560.999999999993</v>
      </c>
      <c r="E21" s="25" t="s">
        <v>115</v>
      </c>
    </row>
    <row r="22" spans="2:5" x14ac:dyDescent="0.25">
      <c r="B22" s="24">
        <v>11</v>
      </c>
      <c r="C22" s="11" t="s">
        <v>116</v>
      </c>
      <c r="D22" s="28">
        <f>D14</f>
        <v>26400</v>
      </c>
      <c r="E22" s="25" t="s">
        <v>117</v>
      </c>
    </row>
    <row r="23" spans="2:5" x14ac:dyDescent="0.25">
      <c r="B23" s="24">
        <v>12</v>
      </c>
      <c r="C23" s="11" t="s">
        <v>90</v>
      </c>
      <c r="D23" s="19">
        <f>D22/D6*100</f>
        <v>8.7999999999999989</v>
      </c>
      <c r="E23" s="25" t="s">
        <v>118</v>
      </c>
    </row>
    <row r="25" spans="2:5" ht="20.100000000000001" customHeight="1" x14ac:dyDescent="0.25">
      <c r="B25" s="39" t="s">
        <v>119</v>
      </c>
      <c r="C25" s="37"/>
      <c r="D25" s="37"/>
      <c r="E25" s="37"/>
    </row>
    <row r="27" spans="2:5" ht="26.1" customHeight="1" x14ac:dyDescent="0.25">
      <c r="B27" s="10" t="s">
        <v>120</v>
      </c>
      <c r="C27" s="10" t="s">
        <v>121</v>
      </c>
      <c r="D27" s="10" t="s">
        <v>58</v>
      </c>
      <c r="E27" s="10" t="s">
        <v>122</v>
      </c>
    </row>
    <row r="28" spans="2:5" x14ac:dyDescent="0.25">
      <c r="B28" s="1" t="s">
        <v>123</v>
      </c>
      <c r="C28" s="29">
        <f>'Passo DAS 2027'!D11</f>
        <v>35624.999999999993</v>
      </c>
      <c r="D28" s="30">
        <f>D21</f>
        <v>33560.999999999993</v>
      </c>
      <c r="E28" s="29">
        <f>D28-C28</f>
        <v>-2064</v>
      </c>
    </row>
    <row r="29" spans="2:5" x14ac:dyDescent="0.25">
      <c r="B29" s="1" t="s">
        <v>124</v>
      </c>
      <c r="C29" s="12">
        <f>'Passo DAS 2027'!D18</f>
        <v>1.8399999999999999</v>
      </c>
      <c r="D29" s="31">
        <f>D23</f>
        <v>8.7999999999999989</v>
      </c>
      <c r="E29" s="12">
        <f>D29-C29</f>
        <v>6.9599999999999991</v>
      </c>
    </row>
    <row r="31" spans="2:5" ht="15" customHeight="1" x14ac:dyDescent="0.25">
      <c r="B31" s="42" t="s">
        <v>125</v>
      </c>
      <c r="C31" s="37"/>
      <c r="D31" s="37"/>
      <c r="E31" s="37"/>
    </row>
    <row r="32" spans="2:5" ht="15" customHeight="1" x14ac:dyDescent="0.25">
      <c r="B32" s="37"/>
      <c r="C32" s="37"/>
      <c r="D32" s="37"/>
      <c r="E32" s="37"/>
    </row>
    <row r="33" spans="2:5" ht="15" customHeight="1" x14ac:dyDescent="0.25">
      <c r="B33" s="37"/>
      <c r="C33" s="37"/>
      <c r="D33" s="37"/>
      <c r="E33" s="37"/>
    </row>
    <row r="34" spans="2:5" ht="15" customHeight="1" x14ac:dyDescent="0.25">
      <c r="B34" s="37"/>
      <c r="C34" s="37"/>
      <c r="D34" s="37"/>
      <c r="E34" s="37"/>
    </row>
  </sheetData>
  <mergeCells count="8">
    <mergeCell ref="B2:E2"/>
    <mergeCell ref="B19:E19"/>
    <mergeCell ref="B4:E4"/>
    <mergeCell ref="B31:E34"/>
    <mergeCell ref="B12:E12"/>
    <mergeCell ref="B13:E13"/>
    <mergeCell ref="B25:E25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45"/>
  <sheetViews>
    <sheetView showGridLines="0" topLeftCell="A28" workbookViewId="0">
      <selection activeCell="E23" sqref="E23"/>
    </sheetView>
  </sheetViews>
  <sheetFormatPr defaultRowHeight="15" x14ac:dyDescent="0.25"/>
  <cols>
    <col min="1" max="1" width="3" customWidth="1"/>
    <col min="2" max="2" width="6" customWidth="1"/>
    <col min="3" max="3" width="40" customWidth="1"/>
    <col min="4" max="4" width="14" customWidth="1"/>
    <col min="5" max="5" width="60.28515625" customWidth="1"/>
  </cols>
  <sheetData>
    <row r="2" spans="2:5" ht="27.95" customHeight="1" x14ac:dyDescent="0.25">
      <c r="B2" s="36" t="s">
        <v>126</v>
      </c>
      <c r="C2" s="37"/>
      <c r="D2" s="37"/>
      <c r="E2" s="37"/>
    </row>
    <row r="4" spans="2:5" ht="20.100000000000001" customHeight="1" x14ac:dyDescent="0.25">
      <c r="B4" s="39" t="s">
        <v>127</v>
      </c>
      <c r="C4" s="37"/>
      <c r="D4" s="37"/>
      <c r="E4" s="37"/>
    </row>
    <row r="5" spans="2:5" ht="15.95" customHeight="1" x14ac:dyDescent="0.25">
      <c r="B5" s="41" t="s">
        <v>128</v>
      </c>
      <c r="C5" s="37"/>
      <c r="D5" s="37"/>
      <c r="E5" s="37"/>
    </row>
    <row r="6" spans="2:5" ht="60" customHeight="1" x14ac:dyDescent="0.25">
      <c r="B6" s="37"/>
      <c r="C6" s="37"/>
      <c r="D6" s="37"/>
      <c r="E6" s="37"/>
    </row>
    <row r="9" spans="2:5" ht="20.100000000000001" customHeight="1" x14ac:dyDescent="0.25">
      <c r="B9" s="39" t="s">
        <v>129</v>
      </c>
      <c r="C9" s="37"/>
      <c r="D9" s="37"/>
      <c r="E9" s="37"/>
    </row>
    <row r="10" spans="2:5" x14ac:dyDescent="0.25">
      <c r="B10" s="24">
        <v>1</v>
      </c>
      <c r="C10" s="1" t="s">
        <v>130</v>
      </c>
      <c r="D10" s="32">
        <v>100</v>
      </c>
      <c r="E10" s="25" t="s">
        <v>131</v>
      </c>
    </row>
    <row r="11" spans="2:5" x14ac:dyDescent="0.25">
      <c r="B11" s="24">
        <v>2</v>
      </c>
      <c r="C11" s="1" t="s">
        <v>132</v>
      </c>
      <c r="D11" s="33">
        <f>D10*Premissas!$C$31</f>
        <v>3.65</v>
      </c>
      <c r="E11" s="25" t="s">
        <v>133</v>
      </c>
    </row>
    <row r="12" spans="2:5" x14ac:dyDescent="0.25">
      <c r="B12" s="24">
        <v>3</v>
      </c>
      <c r="C12" s="1" t="s">
        <v>134</v>
      </c>
      <c r="D12" s="33">
        <f>D10*Premissas!$C$35</f>
        <v>1.8399999999999999</v>
      </c>
      <c r="E12" s="25" t="s">
        <v>135</v>
      </c>
    </row>
    <row r="13" spans="2:5" x14ac:dyDescent="0.25">
      <c r="B13" s="24">
        <v>4</v>
      </c>
      <c r="C13" s="1" t="s">
        <v>136</v>
      </c>
      <c r="D13" s="33">
        <f>D10*0.088</f>
        <v>8.7999999999999989</v>
      </c>
      <c r="E13" s="25" t="s">
        <v>137</v>
      </c>
    </row>
    <row r="15" spans="2:5" ht="20.100000000000001" customHeight="1" x14ac:dyDescent="0.25">
      <c r="B15" s="39" t="s">
        <v>138</v>
      </c>
      <c r="C15" s="37"/>
      <c r="D15" s="37"/>
      <c r="E15" s="37"/>
    </row>
    <row r="16" spans="2:5" x14ac:dyDescent="0.25">
      <c r="B16" s="24">
        <v>5</v>
      </c>
      <c r="C16" s="1" t="s">
        <v>139</v>
      </c>
      <c r="D16" s="32">
        <f>D10</f>
        <v>100</v>
      </c>
      <c r="E16" s="25" t="s">
        <v>140</v>
      </c>
    </row>
    <row r="17" spans="2:5" x14ac:dyDescent="0.25">
      <c r="B17" s="24">
        <v>6</v>
      </c>
      <c r="C17" s="1" t="s">
        <v>141</v>
      </c>
      <c r="D17" s="32">
        <f>-D11</f>
        <v>-3.65</v>
      </c>
      <c r="E17" s="25" t="s">
        <v>142</v>
      </c>
    </row>
    <row r="18" spans="2:5" x14ac:dyDescent="0.25">
      <c r="B18" s="24">
        <v>7</v>
      </c>
      <c r="C18" s="11" t="s">
        <v>143</v>
      </c>
      <c r="D18" s="17">
        <f>D16+D17</f>
        <v>96.35</v>
      </c>
      <c r="E18" s="25" t="s">
        <v>144</v>
      </c>
    </row>
    <row r="20" spans="2:5" ht="20.100000000000001" customHeight="1" x14ac:dyDescent="0.25">
      <c r="B20" s="39" t="s">
        <v>145</v>
      </c>
      <c r="C20" s="37"/>
      <c r="D20" s="37"/>
      <c r="E20" s="37"/>
    </row>
    <row r="21" spans="2:5" x14ac:dyDescent="0.25">
      <c r="B21" s="24">
        <v>8</v>
      </c>
      <c r="C21" s="1" t="s">
        <v>146</v>
      </c>
      <c r="D21" s="33">
        <f>D10</f>
        <v>100</v>
      </c>
      <c r="E21" s="25" t="s">
        <v>147</v>
      </c>
    </row>
    <row r="22" spans="2:5" x14ac:dyDescent="0.25">
      <c r="B22" s="24">
        <v>9</v>
      </c>
      <c r="C22" s="1" t="s">
        <v>148</v>
      </c>
      <c r="D22" s="32">
        <f>-D12</f>
        <v>-1.8399999999999999</v>
      </c>
      <c r="E22" s="25" t="s">
        <v>187</v>
      </c>
    </row>
    <row r="23" spans="2:5" x14ac:dyDescent="0.25">
      <c r="B23" s="24">
        <v>10</v>
      </c>
      <c r="C23" s="11" t="s">
        <v>149</v>
      </c>
      <c r="D23" s="23">
        <f>D21+D22</f>
        <v>98.16</v>
      </c>
      <c r="E23" s="25" t="s">
        <v>150</v>
      </c>
    </row>
    <row r="24" spans="2:5" x14ac:dyDescent="0.25">
      <c r="B24" s="24">
        <v>11</v>
      </c>
      <c r="C24" s="11" t="s">
        <v>151</v>
      </c>
      <c r="D24" s="13">
        <f>D23-D18</f>
        <v>1.8100000000000023</v>
      </c>
      <c r="E24" s="25" t="s">
        <v>152</v>
      </c>
    </row>
    <row r="26" spans="2:5" ht="20.100000000000001" customHeight="1" x14ac:dyDescent="0.25">
      <c r="B26" s="39" t="s">
        <v>153</v>
      </c>
      <c r="C26" s="37"/>
      <c r="D26" s="37"/>
      <c r="E26" s="37"/>
    </row>
    <row r="27" spans="2:5" x14ac:dyDescent="0.25">
      <c r="B27" s="24">
        <v>12</v>
      </c>
      <c r="C27" s="1" t="s">
        <v>154</v>
      </c>
      <c r="D27" s="33">
        <f>D18-D22</f>
        <v>98.19</v>
      </c>
      <c r="E27" s="25" t="s">
        <v>155</v>
      </c>
    </row>
    <row r="28" spans="2:5" x14ac:dyDescent="0.25">
      <c r="B28" s="24">
        <v>13</v>
      </c>
      <c r="C28" s="11" t="s">
        <v>156</v>
      </c>
      <c r="D28" s="17">
        <f>D10-D27</f>
        <v>1.8100000000000023</v>
      </c>
      <c r="E28" s="25" t="s">
        <v>157</v>
      </c>
    </row>
    <row r="29" spans="2:5" x14ac:dyDescent="0.25">
      <c r="B29" s="24">
        <v>14</v>
      </c>
      <c r="C29" s="1" t="s">
        <v>158</v>
      </c>
      <c r="D29" s="9">
        <f>D28/D10</f>
        <v>1.8100000000000022E-2</v>
      </c>
      <c r="E29" s="25" t="s">
        <v>159</v>
      </c>
    </row>
    <row r="30" spans="2:5" x14ac:dyDescent="0.25">
      <c r="B30" s="24">
        <v>15</v>
      </c>
      <c r="C30" s="1" t="s">
        <v>160</v>
      </c>
      <c r="D30" s="34">
        <f>Premissas!$C$11</f>
        <v>0.15</v>
      </c>
      <c r="E30" s="25" t="s">
        <v>161</v>
      </c>
    </row>
    <row r="31" spans="2:5" x14ac:dyDescent="0.25">
      <c r="B31" s="24">
        <v>16</v>
      </c>
      <c r="C31" s="1" t="s">
        <v>162</v>
      </c>
      <c r="D31" s="35">
        <f>D29/Premissas!$C$11</f>
        <v>0.12066666666666682</v>
      </c>
      <c r="E31" s="25" t="s">
        <v>163</v>
      </c>
    </row>
    <row r="33" spans="2:5" ht="20.100000000000001" customHeight="1" x14ac:dyDescent="0.25">
      <c r="B33" s="39" t="s">
        <v>164</v>
      </c>
      <c r="C33" s="37"/>
      <c r="D33" s="37"/>
      <c r="E33" s="37"/>
    </row>
    <row r="34" spans="2:5" x14ac:dyDescent="0.25">
      <c r="B34" s="24">
        <v>17</v>
      </c>
      <c r="C34" s="1" t="s">
        <v>165</v>
      </c>
      <c r="D34" s="33">
        <f>D10</f>
        <v>100</v>
      </c>
      <c r="E34" s="25" t="s">
        <v>166</v>
      </c>
    </row>
    <row r="35" spans="2:5" x14ac:dyDescent="0.25">
      <c r="B35" s="24">
        <v>18</v>
      </c>
      <c r="C35" s="1" t="s">
        <v>167</v>
      </c>
      <c r="D35" s="33">
        <f>D13</f>
        <v>8.7999999999999989</v>
      </c>
      <c r="E35" s="25" t="s">
        <v>168</v>
      </c>
    </row>
    <row r="36" spans="2:5" x14ac:dyDescent="0.25">
      <c r="B36" s="24">
        <v>19</v>
      </c>
      <c r="C36" s="1" t="s">
        <v>169</v>
      </c>
      <c r="D36" s="33">
        <f>D34+D35</f>
        <v>108.8</v>
      </c>
      <c r="E36" s="25" t="s">
        <v>170</v>
      </c>
    </row>
    <row r="37" spans="2:5" x14ac:dyDescent="0.25">
      <c r="B37" s="24">
        <v>20</v>
      </c>
      <c r="C37" s="1" t="s">
        <v>171</v>
      </c>
      <c r="D37" s="33">
        <f>-D13</f>
        <v>-8.7999999999999989</v>
      </c>
      <c r="E37" s="25" t="s">
        <v>172</v>
      </c>
    </row>
    <row r="38" spans="2:5" x14ac:dyDescent="0.25">
      <c r="B38" s="24">
        <v>21</v>
      </c>
      <c r="C38" s="11" t="s">
        <v>173</v>
      </c>
      <c r="D38" s="19">
        <f>D36+D37</f>
        <v>100</v>
      </c>
      <c r="E38" s="25" t="s">
        <v>174</v>
      </c>
    </row>
    <row r="39" spans="2:5" x14ac:dyDescent="0.25">
      <c r="B39" s="24">
        <v>22</v>
      </c>
      <c r="C39" s="1" t="s">
        <v>175</v>
      </c>
      <c r="D39" s="33">
        <f>D38-D34</f>
        <v>0</v>
      </c>
      <c r="E39" s="25" t="s">
        <v>176</v>
      </c>
    </row>
    <row r="41" spans="2:5" ht="15" customHeight="1" x14ac:dyDescent="0.25">
      <c r="B41" s="42" t="s">
        <v>185</v>
      </c>
      <c r="C41" s="37"/>
      <c r="D41" s="37"/>
      <c r="E41" s="37"/>
    </row>
    <row r="42" spans="2:5" ht="15" customHeight="1" x14ac:dyDescent="0.25">
      <c r="B42" s="37"/>
      <c r="C42" s="37"/>
      <c r="D42" s="37"/>
      <c r="E42" s="37"/>
    </row>
    <row r="43" spans="2:5" ht="15" customHeight="1" x14ac:dyDescent="0.25">
      <c r="B43" s="37"/>
      <c r="C43" s="37"/>
      <c r="D43" s="37"/>
      <c r="E43" s="37"/>
    </row>
    <row r="44" spans="2:5" ht="15" customHeight="1" x14ac:dyDescent="0.25">
      <c r="B44" s="37"/>
      <c r="C44" s="37"/>
      <c r="D44" s="37"/>
      <c r="E44" s="37"/>
    </row>
    <row r="45" spans="2:5" ht="15" customHeight="1" x14ac:dyDescent="0.25">
      <c r="B45" s="37"/>
      <c r="C45" s="37"/>
      <c r="D45" s="37"/>
      <c r="E45" s="37"/>
    </row>
  </sheetData>
  <mergeCells count="9">
    <mergeCell ref="B2:E2"/>
    <mergeCell ref="B20:E20"/>
    <mergeCell ref="B5:E6"/>
    <mergeCell ref="B41:E45"/>
    <mergeCell ref="B26:E26"/>
    <mergeCell ref="B9:E9"/>
    <mergeCell ref="B4:E4"/>
    <mergeCell ref="B15:E15"/>
    <mergeCell ref="B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Premissas</vt:lpstr>
      <vt:lpstr>Carga Tributária Empresa</vt:lpstr>
      <vt:lpstr>Impacto Cliente</vt:lpstr>
      <vt:lpstr>Passo DAS 2027</vt:lpstr>
      <vt:lpstr>Passo Híbrido 2027</vt:lpstr>
      <vt:lpstr>Desconto Atacadista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pc30-bene@hotmail.com</cp:lastModifiedBy>
  <dcterms:created xsi:type="dcterms:W3CDTF">2026-08-19T00:54:57Z</dcterms:created>
  <dcterms:modified xsi:type="dcterms:W3CDTF">2026-08-27T14:44:16Z</dcterms:modified>
</cp:coreProperties>
</file>