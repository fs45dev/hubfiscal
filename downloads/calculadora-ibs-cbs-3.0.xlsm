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E5D1E7B1-6628-F0F0-D09B-76B25B5F3CD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c30-\OneDrive\Área de Trabalho\"/>
    </mc:Choice>
  </mc:AlternateContent>
  <xr:revisionPtr revIDLastSave="0" documentId="13_ncr:1_{0CCD41FB-5D4A-432A-A685-887E5D89CD96}" xr6:coauthVersionLast="47" xr6:coauthVersionMax="47" xr10:uidLastSave="{00000000-0000-0000-0000-000000000000}"/>
  <bookViews>
    <workbookView xWindow="-120" yWindow="-120" windowWidth="24240" windowHeight="13140" tabRatio="865" activeTab="1" xr2:uid="{00000000-000D-0000-FFFF-FFFF00000000}"/>
  </bookViews>
  <sheets>
    <sheet name="Instruções" sheetId="1" r:id="rId1"/>
    <sheet name="Configurações" sheetId="2" r:id="rId2"/>
    <sheet name="Calculadora_Simples" sheetId="3" r:id="rId3"/>
    <sheet name="Comparativo_por_Regime" sheetId="4" r:id="rId4"/>
    <sheet name="Simulador_de_Créditos" sheetId="5" r:id="rId5"/>
    <sheet name=" Transição_2026-2033" sheetId="6" r:id="rId6"/>
    <sheet name="Dashboard" sheetId="7" r:id="rId7"/>
    <sheet name="Base_Dados" sheetId="8" state="hidden" r:id="rId8"/>
  </sheets>
  <calcPr calcId="191029"/>
</workbook>
</file>

<file path=xl/calcChain.xml><?xml version="1.0" encoding="utf-8"?>
<calcChain xmlns="http://schemas.openxmlformats.org/spreadsheetml/2006/main">
  <c r="H7" i="7" l="1"/>
  <c r="J7" i="8"/>
  <c r="J6" i="8"/>
  <c r="J5" i="8"/>
  <c r="J4" i="8"/>
  <c r="D8" i="7"/>
  <c r="B10" i="8" s="1"/>
  <c r="E12" i="3"/>
  <c r="E16" i="3"/>
  <c r="F8" i="7" l="1"/>
  <c r="E13" i="4"/>
  <c r="D7" i="7"/>
  <c r="F7" i="7"/>
  <c r="F17" i="6"/>
  <c r="F1" i="8" s="1"/>
  <c r="F24" i="6"/>
  <c r="F8" i="8" s="1"/>
  <c r="F23" i="6"/>
  <c r="F7" i="8" s="1"/>
  <c r="F22" i="6"/>
  <c r="F6" i="8" s="1"/>
  <c r="F21" i="6"/>
  <c r="F5" i="8" s="1"/>
  <c r="F20" i="6"/>
  <c r="F4" i="8" s="1"/>
  <c r="F18" i="6"/>
  <c r="F2" i="8" s="1"/>
  <c r="F19" i="6"/>
  <c r="F3" i="8" s="1"/>
  <c r="H17" i="4" l="1"/>
  <c r="H16" i="4"/>
  <c r="F18" i="4"/>
  <c r="F17" i="4"/>
  <c r="F16" i="4"/>
  <c r="E18" i="4"/>
  <c r="E17" i="4"/>
  <c r="E16" i="4"/>
  <c r="E17" i="3"/>
  <c r="E22" i="5"/>
  <c r="F21" i="5"/>
  <c r="F12" i="5"/>
  <c r="G16" i="4"/>
  <c r="E25" i="3"/>
  <c r="E16" i="2"/>
  <c r="E15" i="2"/>
  <c r="E11" i="2"/>
  <c r="G15" i="5" s="1"/>
  <c r="H20" i="4" l="1"/>
  <c r="H22" i="4" s="1"/>
  <c r="G12" i="5"/>
  <c r="G18" i="5"/>
  <c r="G14" i="5"/>
  <c r="G21" i="5"/>
  <c r="G17" i="5"/>
  <c r="G13" i="5"/>
  <c r="G20" i="5"/>
  <c r="G16" i="5"/>
  <c r="H19" i="4"/>
  <c r="H21" i="4" s="1"/>
  <c r="H23" i="4" s="1"/>
  <c r="B7" i="8" s="1"/>
  <c r="B12" i="8" s="1"/>
  <c r="G19" i="5"/>
  <c r="F20" i="4"/>
  <c r="F22" i="4" s="1"/>
  <c r="G21" i="4"/>
  <c r="G23" i="4" s="1"/>
  <c r="G20" i="4"/>
  <c r="G22" i="4" s="1"/>
  <c r="E20" i="4"/>
  <c r="E22" i="4" s="1"/>
  <c r="B2" i="8" s="1"/>
  <c r="F22" i="5"/>
  <c r="F23" i="5" s="1"/>
  <c r="J1" i="8" s="1"/>
  <c r="F21" i="4"/>
  <c r="F23" i="4" s="1"/>
  <c r="E26" i="3"/>
  <c r="E28" i="3" s="1"/>
  <c r="E19" i="4" l="1"/>
  <c r="E21" i="4" s="1"/>
  <c r="E23" i="4" s="1"/>
  <c r="B6" i="8" s="1"/>
  <c r="B11" i="8" s="1"/>
  <c r="B13" i="8" s="1"/>
  <c r="G22" i="5"/>
  <c r="E12" i="6"/>
  <c r="B3" i="8"/>
  <c r="E11" i="6"/>
  <c r="E29" i="4"/>
  <c r="E18" i="6" l="1"/>
  <c r="E2" i="8" s="1"/>
  <c r="E23" i="6"/>
  <c r="E7" i="8" s="1"/>
  <c r="E22" i="6"/>
  <c r="E6" i="8" s="1"/>
  <c r="E21" i="6"/>
  <c r="E5" i="8" s="1"/>
  <c r="E20" i="6"/>
  <c r="E4" i="8" s="1"/>
  <c r="G23" i="5"/>
  <c r="J2" i="8" s="1"/>
  <c r="E28" i="5"/>
  <c r="E27" i="5"/>
  <c r="E29" i="5" s="1"/>
  <c r="E28" i="4"/>
  <c r="E17" i="6"/>
  <c r="E19" i="6"/>
  <c r="E24" i="6"/>
  <c r="E8" i="8" s="1"/>
  <c r="G20" i="6"/>
  <c r="H20" i="6" s="1"/>
  <c r="G23" i="6"/>
  <c r="H23" i="6" s="1"/>
  <c r="G22" i="6"/>
  <c r="H22" i="6" s="1"/>
  <c r="G21" i="6"/>
  <c r="H21" i="6" s="1"/>
  <c r="G18" i="6"/>
  <c r="H18" i="6" s="1"/>
  <c r="G24" i="6" l="1"/>
  <c r="H24" i="6" s="1"/>
  <c r="G19" i="6"/>
  <c r="H19" i="6" s="1"/>
  <c r="E3" i="8"/>
  <c r="G17" i="6"/>
  <c r="H17" i="6" s="1"/>
  <c r="E1" i="8"/>
  <c r="E18" i="3"/>
  <c r="E20" i="3"/>
  <c r="E21" i="3" l="1"/>
</calcChain>
</file>

<file path=xl/sharedStrings.xml><?xml version="1.0" encoding="utf-8"?>
<sst xmlns="http://schemas.openxmlformats.org/spreadsheetml/2006/main" count="158" uniqueCount="135">
  <si>
    <t>CONFIGURAÇÕES GERAIS</t>
  </si>
  <si>
    <t>ALÍQUOTAS PADRÃO (IVA DUAL)</t>
  </si>
  <si>
    <t>REGIMES DIFERENCIADOS</t>
  </si>
  <si>
    <t>Redução 60% (Saúde, Educação):</t>
  </si>
  <si>
    <t>Redução 30% (Transporte):</t>
  </si>
  <si>
    <t>Isenção (Cesta Básica):</t>
  </si>
  <si>
    <t>SISTEMA ANTIGO - LUCRO REAL (NÃO-CUMULATIVO)</t>
  </si>
  <si>
    <t>COFINS:</t>
  </si>
  <si>
    <t>SISTEMA ANTIGO - LUCRO PRESUMIDO (CUMULATIVO)</t>
  </si>
  <si>
    <t>CALCULADORA SIMPLES IBS/CBS</t>
  </si>
  <si>
    <t>DADOS DA OPERAÇÃO</t>
  </si>
  <si>
    <t>Valor da Operação (sem impostos):</t>
  </si>
  <si>
    <t>Regime:</t>
  </si>
  <si>
    <t>CÁLCULO IBS/CBS</t>
  </si>
  <si>
    <t>Débito CBS:</t>
  </si>
  <si>
    <t>Débito IBS:</t>
  </si>
  <si>
    <t>Crédito a Compensar:</t>
  </si>
  <si>
    <t>Valor a Recolher:</t>
  </si>
  <si>
    <t>Alíquota Efetiva:</t>
  </si>
  <si>
    <t>VALOR TOTAL DA NOTA FISCAL</t>
  </si>
  <si>
    <t>Valor da Operação:</t>
  </si>
  <si>
    <t>(+) IBS/CBS:</t>
  </si>
  <si>
    <t>Total da NF-e:</t>
  </si>
  <si>
    <t>COMPARATIVO: LUCRO REAL vs PRESUMIDO vs SIMPLES</t>
  </si>
  <si>
    <t>PIS/CBS:</t>
  </si>
  <si>
    <t>IPI/ICMS/ISS:</t>
  </si>
  <si>
    <t>(-) Créditos:</t>
  </si>
  <si>
    <t>ANÁLISE</t>
  </si>
  <si>
    <t>Regime Mais Vantajoso:</t>
  </si>
  <si>
    <t>Economia vs Pior Cenário:</t>
  </si>
  <si>
    <t>SIMULADOR DE CRÉDITOS: ANTES vs DEPOIS</t>
  </si>
  <si>
    <t>DESPESAS MENSAIS DA EMPRESA</t>
  </si>
  <si>
    <t>Matéria-prima/Mercadorias</t>
  </si>
  <si>
    <t>Energia elétrica</t>
  </si>
  <si>
    <t>Aluguel</t>
  </si>
  <si>
    <t>Serviços de TI</t>
  </si>
  <si>
    <t>Serviços de limpeza</t>
  </si>
  <si>
    <t>Material de escritório</t>
  </si>
  <si>
    <t>Telefonia/Internet</t>
  </si>
  <si>
    <t>Manutenção de equipamentos</t>
  </si>
  <si>
    <t>Consultorias</t>
  </si>
  <si>
    <t>Frete/Transporte</t>
  </si>
  <si>
    <t>TOTAL DE CRÉDITOS:</t>
  </si>
  <si>
    <t>ANÁLISE DO IMPACTO</t>
  </si>
  <si>
    <t>Crédito Adicional (Novo - Antigo):</t>
  </si>
  <si>
    <t>Aumento Percentual:</t>
  </si>
  <si>
    <t>Economia Anual:</t>
  </si>
  <si>
    <t>SIMULADOR DE TRANSIÇÃO ANO A ANO</t>
  </si>
  <si>
    <t>DADOS DA EMPRESA</t>
  </si>
  <si>
    <t>Faturamento Anual:</t>
  </si>
  <si>
    <t>Carga Tributária Atual (%):</t>
  </si>
  <si>
    <t>Carga Tributária Nova (%):</t>
  </si>
  <si>
    <t>CRONOGRAMA DE TRANSIÇÃO</t>
  </si>
  <si>
    <t>DASHBOARD - ANÁLISE VISUAL</t>
  </si>
  <si>
    <t xml:space="preserve">     Esta calculadora profissional foi completamente reformulada para oferecer:</t>
  </si>
  <si>
    <t xml:space="preserve">     ✅ Comparativo REAL por regime tributário (Lucro Real, Presumido, Simples)</t>
  </si>
  <si>
    <t xml:space="preserve">     ✅ Simulador de créditos (antes vs depois da reforma)</t>
  </si>
  <si>
    <t xml:space="preserve">     ✅ Simulador de transição ano a ano (2026-2033)</t>
  </si>
  <si>
    <t xml:space="preserve">     ✅ Dashboard com resumo de indicadores</t>
  </si>
  <si>
    <t xml:space="preserve">     COMO USAR:</t>
  </si>
  <si>
    <t xml:space="preserve">     1. Vá na aba '⚙️ Configurações' e ajuste as alíquotas (se necessário)</t>
  </si>
  <si>
    <t xml:space="preserve">     2. Escolha a aba do cenário que deseja simular:</t>
  </si>
  <si>
    <t xml:space="preserve">        - 🧮 Calculadora Simples: Cálculo rápido de IBS/CBS</t>
  </si>
  <si>
    <t xml:space="preserve">        - 📊 Comparativo por Regime: Compare Lucro Real, Presumido e Simples</t>
  </si>
  <si>
    <t xml:space="preserve">        - 💰 Simulador de Créditos: Veja o impacto do crédito amplo</t>
  </si>
  <si>
    <t xml:space="preserve">        - 📅 Transição 2026-2033: Planeje o impacto ano a ano</t>
  </si>
  <si>
    <t xml:space="preserve">        - 📈 Dashboard: Visualize gráficos e análises</t>
  </si>
  <si>
    <t xml:space="preserve">     DICA: Use a aba 'Dashboard' para apresentações à diretoria!</t>
  </si>
  <si>
    <t>NOVO</t>
  </si>
  <si>
    <t>(IBS/CBS)</t>
  </si>
  <si>
    <t>TIPO DE DESPESA</t>
  </si>
  <si>
    <t>CREDITO ANTIGO</t>
  </si>
  <si>
    <t>CRÉDITO NOVO</t>
  </si>
  <si>
    <t>ANO</t>
  </si>
  <si>
    <t>SISTEMA</t>
  </si>
  <si>
    <t>ANTIGO</t>
  </si>
  <si>
    <t>TOTAL</t>
  </si>
  <si>
    <t>A PAGAR</t>
  </si>
  <si>
    <t>VARIAÇÃO</t>
  </si>
  <si>
    <t>Vs HOJE</t>
  </si>
  <si>
    <t xml:space="preserve">Escolha o Regime: </t>
  </si>
  <si>
    <t>LUCRO REAL</t>
  </si>
  <si>
    <t>LUCRO PRESUMIDO</t>
  </si>
  <si>
    <t>SIMPLES NACIONAL</t>
  </si>
  <si>
    <t>% Compras sobre Vendas:</t>
  </si>
  <si>
    <t>Valor dos Créditos</t>
  </si>
  <si>
    <t>Alíquota Nominal</t>
  </si>
  <si>
    <t>TOTAL NOMINAL</t>
  </si>
  <si>
    <t>TOTAL EFETIVO:</t>
  </si>
  <si>
    <t>O que vende:</t>
  </si>
  <si>
    <t xml:space="preserve">Regime Diferenciado: </t>
  </si>
  <si>
    <r>
      <t xml:space="preserve">selecione abaixo </t>
    </r>
    <r>
      <rPr>
        <sz val="9"/>
        <color theme="0" tint="-0.34998626667073579"/>
        <rFont val="Calibri"/>
        <family val="2"/>
      </rPr>
      <t>↓</t>
    </r>
  </si>
  <si>
    <r>
      <t xml:space="preserve">digite abaixo </t>
    </r>
    <r>
      <rPr>
        <sz val="9"/>
        <color theme="0" tint="-0.34998626667073579"/>
        <rFont val="Calibri"/>
        <family val="2"/>
      </rPr>
      <t>↓</t>
    </r>
  </si>
  <si>
    <r>
      <t xml:space="preserve">abaixo </t>
    </r>
    <r>
      <rPr>
        <sz val="9"/>
        <color theme="0" tint="-0.34998626667073579"/>
        <rFont val="Calibri"/>
        <family val="2"/>
      </rPr>
      <t>↓</t>
    </r>
  </si>
  <si>
    <t>digite /selecione</t>
  </si>
  <si>
    <t>VALOR MENSAL (R$)</t>
  </si>
  <si>
    <t>Alíquota por Regime</t>
  </si>
  <si>
    <t>PIS (%):</t>
  </si>
  <si>
    <t>COFINS (%):</t>
  </si>
  <si>
    <t>IPI (Indústria) (%):</t>
  </si>
  <si>
    <t>ICMS (Média) (%):</t>
  </si>
  <si>
    <t>ISS (Serviços) (%):</t>
  </si>
  <si>
    <t>CBS (Federal) (%):</t>
  </si>
  <si>
    <t>IBS (Estadual/Municipal) (%):</t>
  </si>
  <si>
    <t>Total IVA (%):</t>
  </si>
  <si>
    <t>Padrão</t>
  </si>
  <si>
    <t xml:space="preserve">Tipo de Venda: </t>
  </si>
  <si>
    <t xml:space="preserve">Regime Tributário: </t>
  </si>
  <si>
    <t>Faturamento Mensal:</t>
  </si>
  <si>
    <t>NOMINAL</t>
  </si>
  <si>
    <t>EFETIVA</t>
  </si>
  <si>
    <t>Redução 60%</t>
  </si>
  <si>
    <t>Redução 30%</t>
  </si>
  <si>
    <t>Isenção</t>
  </si>
  <si>
    <t>VALOR EFETIVO</t>
  </si>
  <si>
    <t>Valor da Operação</t>
  </si>
  <si>
    <t>Valor por Regime</t>
  </si>
  <si>
    <t>Valor Novo (IBS/CBS)</t>
  </si>
  <si>
    <t>Economia</t>
  </si>
  <si>
    <t>% sobre Valor Mensal</t>
  </si>
  <si>
    <t>% Crédito Antigo</t>
  </si>
  <si>
    <t>% Crédito Novo</t>
  </si>
  <si>
    <t>Valor Mensal Crédito Antigo</t>
  </si>
  <si>
    <t>Valor Mensal Crédito Novo</t>
  </si>
  <si>
    <t>Diferença Mensal</t>
  </si>
  <si>
    <t>Diferença Anual</t>
  </si>
  <si>
    <t>Novo (IBS/CBS)</t>
  </si>
  <si>
    <t>Este dashboard apresenta uma visão geral dos principais indicadores</t>
  </si>
  <si>
    <t>Não é necessário digitar ou selecionar nada abaixo ( as informações são extraídas das outras abas da planilha)</t>
  </si>
  <si>
    <t xml:space="preserve">     ✅ Cálculos precisos com alíquotas reais, baseados em estimativas atuais. Ainda pode sofrer alterações </t>
  </si>
  <si>
    <t>Atenção: a Reforma Tributária ainda está incerta e os contadores estão discutindo o melhor entendimento. Essa planilha foi inteiramente revisada mas poderá sofrer alterações no futuro para refletir as adequações corretas.</t>
  </si>
  <si>
    <t>CALCULADORA IBS/CBS - VERSÃO 3.0</t>
  </si>
  <si>
    <t xml:space="preserve">CALCULADORA IBS/CBS </t>
  </si>
  <si>
    <t>PRODUTO</t>
  </si>
  <si>
    <t>CALCULADORA IBS/CBS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</si>
</sst>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&quot;%&quot;"/>
    <numFmt numFmtId="165" formatCode="\R\$\ #,##0.00"/>
    <numFmt numFmtId="166" formatCode="0.0%"/>
    <numFmt numFmtId="167" formatCode="#,##0.00_ ;\-#,##0.00\ "/>
  </numFmts>
  <fonts count="34" x14ac:knownFonts="1">
    <font>
      <sz val="11"/>
      <color theme="1"/>
      <name val="Calibri"/>
      <family val="2"/>
      <scheme val="minor"/>
    </font>
    <font>
      <sz val="11"/>
      <color rgb="FFFFFFFF"/>
      <name val="Segoe UI"/>
      <family val="2"/>
    </font>
    <font>
      <b/>
      <sz val="14"/>
      <color rgb="FFFFFFFF"/>
      <name val="Segoe UI"/>
      <family val="2"/>
    </font>
    <font>
      <b/>
      <sz val="11"/>
      <color rgb="FFFFFFFF"/>
      <name val="Segoe UI"/>
      <family val="2"/>
    </font>
    <font>
      <b/>
      <sz val="12"/>
      <color rgb="FFFFFFFF"/>
      <name val="Segoe UI"/>
      <family val="2"/>
    </font>
    <font>
      <i/>
      <sz val="11"/>
      <color rgb="FFFFFFFF"/>
      <name val="Segoe UI"/>
      <family val="2"/>
    </font>
    <font>
      <b/>
      <sz val="16"/>
      <color rgb="FFFFFFFF"/>
      <name val="Segoe UI"/>
      <family val="2"/>
    </font>
    <font>
      <b/>
      <sz val="22"/>
      <color rgb="FFFFFFFF"/>
      <name val="Segoe UI"/>
      <family val="2"/>
    </font>
    <font>
      <sz val="22"/>
      <color rgb="FFFFFFFF"/>
      <name val="Segoe UI"/>
      <family val="2"/>
    </font>
    <font>
      <sz val="20"/>
      <color rgb="FFFFFFFF"/>
      <name val="Segoe UI"/>
      <family val="2"/>
    </font>
    <font>
      <b/>
      <sz val="18"/>
      <color rgb="FF1B1F23"/>
      <name val="Segoe UI"/>
      <family val="2"/>
    </font>
    <font>
      <sz val="11"/>
      <color rgb="FF1B1F23"/>
      <name val="Segoe UI"/>
      <family val="2"/>
    </font>
    <font>
      <b/>
      <sz val="18"/>
      <name val="Segoe UI"/>
      <family val="2"/>
    </font>
    <font>
      <sz val="10"/>
      <color rgb="FFFFFFFF"/>
      <name val="Segoe UI"/>
      <family val="2"/>
    </font>
    <font>
      <b/>
      <sz val="18"/>
      <color rgb="FF0B0E11"/>
      <name val="Segoe UI"/>
      <family val="2"/>
    </font>
    <font>
      <sz val="16"/>
      <color rgb="FFFFFFFF"/>
      <name val="Segoe UI"/>
      <family val="2"/>
    </font>
    <font>
      <sz val="9"/>
      <color rgb="FFFFFFFF"/>
      <name val="Segoe UI"/>
      <family val="2"/>
    </font>
    <font>
      <sz val="11"/>
      <color theme="1"/>
      <name val="Calibri"/>
      <family val="2"/>
      <scheme val="minor"/>
    </font>
    <font>
      <sz val="11"/>
      <color theme="0"/>
      <name val="Segoe UI"/>
      <family val="2"/>
    </font>
    <font>
      <sz val="11"/>
      <color rgb="FFFFFF00"/>
      <name val="Segoe UI"/>
      <family val="2"/>
    </font>
    <font>
      <b/>
      <sz val="11"/>
      <color rgb="FFFFFF00"/>
      <name val="Segoe UI"/>
      <family val="2"/>
    </font>
    <font>
      <i/>
      <sz val="11"/>
      <color rgb="FFFFFF00"/>
      <name val="Segoe UI"/>
      <family val="2"/>
    </font>
    <font>
      <b/>
      <sz val="11"/>
      <color theme="1"/>
      <name val="Calibri"/>
      <family val="2"/>
      <scheme val="minor"/>
    </font>
    <font>
      <sz val="9"/>
      <color theme="0" tint="-0.34998626667073579"/>
      <name val="Segoe UI"/>
      <family val="2"/>
    </font>
    <font>
      <sz val="9"/>
      <color theme="0" tint="-0.34998626667073579"/>
      <name val="Calibri"/>
      <family val="2"/>
    </font>
    <font>
      <sz val="10"/>
      <color rgb="FF0B0E11"/>
      <name val="Segoe UI"/>
      <family val="2"/>
    </font>
    <font>
      <sz val="11"/>
      <color theme="0" tint="-0.249977111117893"/>
      <name val="Segoe UI"/>
      <family val="2"/>
    </font>
    <font>
      <sz val="22"/>
      <color theme="0"/>
      <name val="Segoe UI"/>
      <family val="2"/>
    </font>
    <font>
      <sz val="10"/>
      <color theme="0"/>
      <name val="Segoe UI"/>
      <family val="2"/>
    </font>
    <font>
      <sz val="11"/>
      <color theme="0" tint="-0.34998626667073579"/>
      <name val="Segoe UI"/>
      <family val="2"/>
    </font>
    <font>
      <sz val="11"/>
      <color rgb="FFFF0000"/>
      <name val="Segoe UI"/>
      <family val="2"/>
    </font>
    <font>
      <sz val="14"/>
      <color theme="0" tint="-0.249977111117893"/>
      <name val="Segoe UI"/>
      <family val="2"/>
    </font>
    <font>
      <sz val="14"/>
      <color rgb="FFFFFFFF"/>
      <name val="Segoe UI"/>
      <family val="2"/>
    </font>
    <font>
      <sz val="12"/>
      <color rgb="FFFFFFFF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0B0E11"/>
        <bgColor indexed="64"/>
      </patternFill>
    </fill>
    <fill>
      <patternFill patternType="solid">
        <fgColor rgb="FF0B0E11"/>
        <bgColor rgb="FFFFFF00"/>
      </patternFill>
    </fill>
    <fill>
      <patternFill patternType="solid">
        <fgColor rgb="FF1B1F23"/>
        <bgColor indexed="64"/>
      </patternFill>
    </fill>
    <fill>
      <patternFill patternType="solid">
        <fgColor rgb="FF1B1F23"/>
        <bgColor rgb="FF4472C4"/>
      </patternFill>
    </fill>
    <fill>
      <patternFill patternType="solid">
        <fgColor rgb="FF1B1F23"/>
        <bgColor rgb="FFFFA500"/>
      </patternFill>
    </fill>
    <fill>
      <patternFill patternType="solid">
        <fgColor rgb="FF1B1F23"/>
        <bgColor rgb="FFFFE6E6"/>
      </patternFill>
    </fill>
    <fill>
      <patternFill patternType="solid">
        <fgColor rgb="FF1B1F23"/>
        <bgColor rgb="FFE6FFE6"/>
      </patternFill>
    </fill>
    <fill>
      <patternFill patternType="solid">
        <fgColor rgb="FF1B1F23"/>
        <bgColor rgb="FFFFFF00"/>
      </patternFill>
    </fill>
    <fill>
      <patternFill patternType="solid">
        <fgColor rgb="FF1B1F23"/>
        <bgColor rgb="FF90EE90"/>
      </patternFill>
    </fill>
    <fill>
      <patternFill patternType="solid">
        <fgColor rgb="FF00D37F"/>
        <bgColor indexed="64"/>
      </patternFill>
    </fill>
  </fills>
  <borders count="4">
    <border>
      <left/>
      <right/>
      <top/>
      <bottom/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/>
      <right/>
      <top style="medium">
        <color rgb="FF666666"/>
      </top>
      <bottom/>
      <diagonal/>
    </border>
    <border>
      <left style="thin">
        <color rgb="FFCCCCCC"/>
      </left>
      <right/>
      <top/>
      <bottom/>
      <diagonal/>
    </border>
  </borders>
  <cellStyleXfs count="3">
    <xf numFmtId="0" fontId="0" fillId="0" borderId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</cellStyleXfs>
  <cellXfs count="89">
    <xf numFmtId="0" fontId="0" fillId="0" borderId="0" xfId="0"/>
    <xf numFmtId="0" fontId="1" fillId="2" borderId="0" xfId="0" applyFont="1" applyFill="1"/>
    <xf numFmtId="0" fontId="1" fillId="4" borderId="0" xfId="0" applyFont="1" applyFill="1"/>
    <xf numFmtId="0" fontId="7" fillId="2" borderId="0" xfId="0" applyFont="1" applyFill="1"/>
    <xf numFmtId="0" fontId="8" fillId="2" borderId="0" xfId="0" applyFont="1" applyFill="1"/>
    <xf numFmtId="0" fontId="8" fillId="4" borderId="0" xfId="0" applyFont="1" applyFill="1"/>
    <xf numFmtId="0" fontId="9" fillId="2" borderId="0" xfId="0" applyFont="1" applyFill="1"/>
    <xf numFmtId="0" fontId="9" fillId="4" borderId="0" xfId="0" applyFont="1" applyFill="1"/>
    <xf numFmtId="0" fontId="1" fillId="11" borderId="0" xfId="0" applyFont="1" applyFill="1"/>
    <xf numFmtId="164" fontId="1" fillId="9" borderId="0" xfId="0" applyNumberFormat="1" applyFont="1" applyFill="1" applyProtection="1">
      <protection locked="0"/>
    </xf>
    <xf numFmtId="164" fontId="1" fillId="10" borderId="0" xfId="0" applyNumberFormat="1" applyFont="1" applyFill="1"/>
    <xf numFmtId="0" fontId="8" fillId="11" borderId="0" xfId="0" applyFont="1" applyFill="1"/>
    <xf numFmtId="0" fontId="6" fillId="2" borderId="0" xfId="0" applyFont="1" applyFill="1"/>
    <xf numFmtId="0" fontId="3" fillId="5" borderId="0" xfId="0" applyFont="1" applyFill="1" applyAlignment="1">
      <alignment horizontal="center"/>
    </xf>
    <xf numFmtId="0" fontId="9" fillId="11" borderId="0" xfId="0" applyFont="1" applyFill="1"/>
    <xf numFmtId="0" fontId="14" fillId="11" borderId="0" xfId="0" applyFont="1" applyFill="1"/>
    <xf numFmtId="0" fontId="15" fillId="2" borderId="0" xfId="0" applyFont="1" applyFill="1"/>
    <xf numFmtId="165" fontId="1" fillId="4" borderId="0" xfId="0" applyNumberFormat="1" applyFont="1" applyFill="1"/>
    <xf numFmtId="165" fontId="3" fillId="6" borderId="0" xfId="0" applyNumberFormat="1" applyFont="1" applyFill="1"/>
    <xf numFmtId="164" fontId="1" fillId="4" borderId="0" xfId="0" applyNumberFormat="1" applyFont="1" applyFill="1"/>
    <xf numFmtId="2" fontId="18" fillId="2" borderId="0" xfId="0" applyNumberFormat="1" applyFont="1" applyFill="1"/>
    <xf numFmtId="2" fontId="1" fillId="2" borderId="0" xfId="0" applyNumberFormat="1" applyFont="1" applyFill="1"/>
    <xf numFmtId="166" fontId="1" fillId="2" borderId="0" xfId="1" applyNumberFormat="1" applyFont="1" applyFill="1"/>
    <xf numFmtId="166" fontId="1" fillId="2" borderId="0" xfId="0" applyNumberFormat="1" applyFont="1" applyFill="1"/>
    <xf numFmtId="0" fontId="19" fillId="4" borderId="0" xfId="0" applyFont="1" applyFill="1"/>
    <xf numFmtId="0" fontId="20" fillId="4" borderId="0" xfId="0" applyFont="1" applyFill="1"/>
    <xf numFmtId="0" fontId="19" fillId="6" borderId="0" xfId="0" applyFont="1" applyFill="1"/>
    <xf numFmtId="0" fontId="21" fillId="4" borderId="0" xfId="0" applyFont="1" applyFill="1"/>
    <xf numFmtId="0" fontId="22" fillId="0" borderId="0" xfId="0" applyFont="1"/>
    <xf numFmtId="4" fontId="0" fillId="0" borderId="0" xfId="0" applyNumberFormat="1"/>
    <xf numFmtId="10" fontId="0" fillId="0" borderId="0" xfId="1" applyNumberFormat="1" applyFont="1"/>
    <xf numFmtId="0" fontId="25" fillId="2" borderId="0" xfId="0" applyFont="1" applyFill="1"/>
    <xf numFmtId="43" fontId="0" fillId="0" borderId="0" xfId="2" applyFont="1"/>
    <xf numFmtId="43" fontId="0" fillId="0" borderId="0" xfId="0" applyNumberFormat="1"/>
    <xf numFmtId="167" fontId="0" fillId="0" borderId="0" xfId="0" applyNumberFormat="1"/>
    <xf numFmtId="0" fontId="27" fillId="2" borderId="0" xfId="0" applyFont="1" applyFill="1"/>
    <xf numFmtId="0" fontId="28" fillId="2" borderId="0" xfId="0" applyFont="1" applyFill="1"/>
    <xf numFmtId="10" fontId="0" fillId="0" borderId="0" xfId="0" applyNumberFormat="1"/>
    <xf numFmtId="164" fontId="18" fillId="3" borderId="1" xfId="0" applyNumberFormat="1" applyFont="1" applyFill="1" applyBorder="1" applyProtection="1">
      <protection locked="0"/>
    </xf>
    <xf numFmtId="165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9" fontId="1" fillId="3" borderId="1" xfId="1" applyFont="1" applyFill="1" applyBorder="1" applyAlignment="1" applyProtection="1">
      <alignment horizontal="center" vertical="center"/>
      <protection locked="0"/>
    </xf>
    <xf numFmtId="165" fontId="1" fillId="3" borderId="1" xfId="0" applyNumberFormat="1" applyFont="1" applyFill="1" applyBorder="1" applyProtection="1">
      <protection locked="0"/>
    </xf>
    <xf numFmtId="165" fontId="16" fillId="3" borderId="1" xfId="0" applyNumberFormat="1" applyFont="1" applyFill="1" applyBorder="1" applyAlignment="1" applyProtection="1">
      <alignment horizontal="center" vertical="center"/>
      <protection locked="0"/>
    </xf>
    <xf numFmtId="165" fontId="16" fillId="9" borderId="0" xfId="0" applyNumberFormat="1" applyFont="1" applyFill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 vertical="center"/>
    </xf>
    <xf numFmtId="165" fontId="13" fillId="9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6" fillId="4" borderId="0" xfId="0" applyFont="1" applyFill="1" applyAlignment="1">
      <alignment horizontal="right" vertical="center"/>
    </xf>
    <xf numFmtId="0" fontId="4" fillId="4" borderId="0" xfId="0" applyFont="1" applyFill="1"/>
    <xf numFmtId="0" fontId="1" fillId="4" borderId="0" xfId="0" applyFont="1" applyFill="1" applyAlignment="1">
      <alignment vertical="center"/>
    </xf>
    <xf numFmtId="0" fontId="3" fillId="5" borderId="0" xfId="0" applyFont="1" applyFill="1" applyAlignment="1">
      <alignment horizontal="right"/>
    </xf>
    <xf numFmtId="0" fontId="1" fillId="4" borderId="0" xfId="0" applyFont="1" applyFill="1" applyAlignment="1">
      <alignment horizontal="center"/>
    </xf>
    <xf numFmtId="165" fontId="1" fillId="6" borderId="0" xfId="0" applyNumberFormat="1" applyFont="1" applyFill="1"/>
    <xf numFmtId="10" fontId="1" fillId="4" borderId="0" xfId="0" applyNumberFormat="1" applyFont="1" applyFill="1" applyAlignment="1">
      <alignment horizontal="center"/>
    </xf>
    <xf numFmtId="165" fontId="1" fillId="9" borderId="0" xfId="0" applyNumberFormat="1" applyFont="1" applyFill="1" applyAlignment="1">
      <alignment horizontal="center" vertical="center"/>
    </xf>
    <xf numFmtId="164" fontId="1" fillId="9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left"/>
    </xf>
    <xf numFmtId="165" fontId="1" fillId="7" borderId="3" xfId="0" applyNumberFormat="1" applyFont="1" applyFill="1" applyBorder="1"/>
    <xf numFmtId="165" fontId="1" fillId="8" borderId="0" xfId="0" applyNumberFormat="1" applyFont="1" applyFill="1"/>
    <xf numFmtId="165" fontId="1" fillId="7" borderId="0" xfId="0" applyNumberFormat="1" applyFont="1" applyFill="1"/>
    <xf numFmtId="0" fontId="3" fillId="4" borderId="0" xfId="0" applyFont="1" applyFill="1"/>
    <xf numFmtId="165" fontId="3" fillId="6" borderId="2" xfId="0" applyNumberFormat="1" applyFont="1" applyFill="1" applyBorder="1"/>
    <xf numFmtId="0" fontId="29" fillId="4" borderId="0" xfId="0" applyFont="1" applyFill="1"/>
    <xf numFmtId="10" fontId="29" fillId="4" borderId="0" xfId="1" applyNumberFormat="1" applyFont="1" applyFill="1" applyProtection="1"/>
    <xf numFmtId="10" fontId="1" fillId="4" borderId="0" xfId="1" applyNumberFormat="1" applyFont="1" applyFill="1" applyProtection="1"/>
    <xf numFmtId="165" fontId="3" fillId="10" borderId="0" xfId="0" applyNumberFormat="1" applyFont="1" applyFill="1"/>
    <xf numFmtId="0" fontId="23" fillId="4" borderId="0" xfId="0" applyFont="1" applyFill="1" applyAlignment="1">
      <alignment horizontal="center" vertical="top"/>
    </xf>
    <xf numFmtId="0" fontId="5" fillId="4" borderId="0" xfId="0" applyFont="1" applyFill="1"/>
    <xf numFmtId="165" fontId="1" fillId="9" borderId="2" xfId="0" applyNumberFormat="1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/>
    </xf>
    <xf numFmtId="165" fontId="1" fillId="10" borderId="0" xfId="0" applyNumberFormat="1" applyFont="1" applyFill="1" applyAlignment="1">
      <alignment horizontal="center"/>
    </xf>
    <xf numFmtId="165" fontId="1" fillId="10" borderId="0" xfId="0" applyNumberFormat="1" applyFont="1" applyFill="1"/>
    <xf numFmtId="164" fontId="1" fillId="10" borderId="2" xfId="0" applyNumberFormat="1" applyFont="1" applyFill="1" applyBorder="1"/>
    <xf numFmtId="0" fontId="3" fillId="4" borderId="0" xfId="0" applyFont="1" applyFill="1" applyAlignment="1">
      <alignment wrapText="1"/>
    </xf>
    <xf numFmtId="0" fontId="31" fillId="4" borderId="0" xfId="0" applyFont="1" applyFill="1" applyAlignment="1">
      <alignment horizontal="right" vertical="center"/>
    </xf>
    <xf numFmtId="165" fontId="32" fillId="9" borderId="0" xfId="0" applyNumberFormat="1" applyFont="1" applyFill="1" applyAlignment="1">
      <alignment horizontal="center" vertical="center"/>
    </xf>
    <xf numFmtId="165" fontId="33" fillId="9" borderId="0" xfId="0" applyNumberFormat="1" applyFont="1" applyFill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11" fillId="11" borderId="0" xfId="0" applyFont="1" applyFill="1"/>
    <xf numFmtId="0" fontId="2" fillId="2" borderId="0" xfId="0" applyFont="1" applyFill="1" applyAlignment="1">
      <alignment horizontal="center" vertical="center"/>
    </xf>
    <xf numFmtId="0" fontId="30" fillId="4" borderId="0" xfId="0" applyFont="1" applyFill="1" applyAlignment="1">
      <alignment horizontal="center" vertical="center" wrapText="1"/>
    </xf>
    <xf numFmtId="0" fontId="12" fillId="11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14" fillId="11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top"/>
    </xf>
    <xf numFmtId="0" fontId="23" fillId="4" borderId="0" xfId="0" applyFont="1" applyFill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0"/>
  <tableStyles count="0" defaultTableStyle="TableStyleMedium9" defaultPivotStyle="PivotStyleLight16"/>
  <colors>
    <mruColors>
      <color rgb="FF00D37F"/>
      <color rgb="FF505050"/>
      <color rgb="FF0B0E11"/>
      <color rgb="FF1B1F23"/>
      <color rgb="FF2D32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19-4DAA-85D7-451626362B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19-4DAA-85D7-451626362B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19-4DAA-85D7-451626362B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19-4DAA-85D7-451626362B91}"/>
              </c:ext>
            </c:extLst>
          </c:dPt>
          <c:dLbls>
            <c:dLbl>
              <c:idx val="0"/>
              <c:layout>
                <c:manualLayout>
                  <c:x val="4.0676446095701006E-3"/>
                  <c:y val="-1.417419258999739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19-4DAA-85D7-451626362B91}"/>
                </c:ext>
              </c:extLst>
            </c:dLbl>
            <c:dLbl>
              <c:idx val="1"/>
              <c:layout>
                <c:manualLayout>
                  <c:x val="8.13528921914035E-2"/>
                  <c:y val="3.07061480857935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19-4DAA-85D7-451626362B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shade val="95000"/>
                      <a:satMod val="105000"/>
                    </a:schemeClr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Base_Dados!$I$1:$I$2</c:f>
              <c:strCache>
                <c:ptCount val="2"/>
                <c:pt idx="0">
                  <c:v>% Crédito Antigo</c:v>
                </c:pt>
                <c:pt idx="1">
                  <c:v>% Crédito Novo</c:v>
                </c:pt>
              </c:strCache>
            </c:strRef>
          </c:cat>
          <c:val>
            <c:numRef>
              <c:f>Base_Dados!$J$1:$J$2</c:f>
              <c:numCache>
                <c:formatCode>0.00%</c:formatCode>
                <c:ptCount val="2"/>
                <c:pt idx="0">
                  <c:v>5.5327102803738315E-2</c:v>
                </c:pt>
                <c:pt idx="1">
                  <c:v>0.26500000000000001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19-4DAA-85D7-451626362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505050"/>
              </a:solidFill>
            </c:spPr>
            <c:extLst>
              <c:ext xmlns:c16="http://schemas.microsoft.com/office/drawing/2014/chart" uri="{C3380CC4-5D6E-409C-BE32-E72D297353CC}">
                <c16:uniqueId val="{00000001-8553-4B72-BE79-37392379F079}"/>
              </c:ext>
            </c:extLst>
          </c:dPt>
          <c:dPt>
            <c:idx val="1"/>
            <c:invertIfNegative val="0"/>
            <c:bubble3D val="0"/>
            <c:spPr>
              <a:solidFill>
                <a:srgbClr val="00D37F"/>
              </a:solidFill>
            </c:spPr>
            <c:extLst>
              <c:ext xmlns:c16="http://schemas.microsoft.com/office/drawing/2014/chart" uri="{C3380CC4-5D6E-409C-BE32-E72D297353CC}">
                <c16:uniqueId val="{00000002-8553-4B72-BE79-37392379F079}"/>
              </c:ext>
            </c:extLst>
          </c:dPt>
          <c:dPt>
            <c:idx val="2"/>
            <c:invertIfNegative val="0"/>
            <c:bubble3D val="0"/>
            <c:spPr>
              <a:solidFill>
                <a:srgbClr val="505050"/>
              </a:solidFill>
            </c:spPr>
            <c:extLst>
              <c:ext xmlns:c16="http://schemas.microsoft.com/office/drawing/2014/chart" uri="{C3380CC4-5D6E-409C-BE32-E72D297353CC}">
                <c16:uniqueId val="{00000003-8553-4B72-BE79-37392379F079}"/>
              </c:ext>
            </c:extLst>
          </c:dPt>
          <c:dPt>
            <c:idx val="3"/>
            <c:invertIfNegative val="0"/>
            <c:bubble3D val="0"/>
            <c:spPr>
              <a:solidFill>
                <a:srgbClr val="39FF14"/>
              </a:solidFill>
            </c:spPr>
            <c:extLst>
              <c:ext xmlns:c16="http://schemas.microsoft.com/office/drawing/2014/chart" uri="{C3380CC4-5D6E-409C-BE32-E72D297353CC}">
                <c16:uniqueId val="{00000004-8553-4B72-BE79-37392379F0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Base_Dados!$A$6:$A$7</c:f>
              <c:strCache>
                <c:ptCount val="2"/>
                <c:pt idx="0">
                  <c:v>Alíquota por Regime</c:v>
                </c:pt>
                <c:pt idx="1">
                  <c:v>Novo (IBS/CBS)</c:v>
                </c:pt>
              </c:strCache>
            </c:strRef>
          </c:cat>
          <c:val>
            <c:numRef>
              <c:f>Base_Dados!$B$6:$B$7</c:f>
              <c:numCache>
                <c:formatCode>0.00%</c:formatCode>
                <c:ptCount val="2"/>
                <c:pt idx="0">
                  <c:v>0.06</c:v>
                </c:pt>
                <c:pt idx="1">
                  <c:v>0.106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3-4B72-BE79-37392379F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7136080"/>
        <c:axId val="897138576"/>
      </c:barChart>
      <c:catAx>
        <c:axId val="89713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FFFF"/>
                </a:solidFill>
              </a:defRPr>
            </a:pPr>
            <a:endParaRPr lang="pt-BR"/>
          </a:p>
        </c:txPr>
        <c:crossAx val="897138576"/>
        <c:crosses val="autoZero"/>
        <c:auto val="1"/>
        <c:lblAlgn val="ctr"/>
        <c:lblOffset val="100"/>
        <c:noMultiLvlLbl val="0"/>
      </c:catAx>
      <c:valAx>
        <c:axId val="897138576"/>
        <c:scaling>
          <c:orientation val="minMax"/>
        </c:scaling>
        <c:delete val="0"/>
        <c:axPos val="l"/>
        <c:majorGridlines>
          <c:spPr>
            <a:ln>
              <a:solidFill>
                <a:srgbClr val="3C3C3C"/>
              </a:solidFill>
            </a:ln>
          </c:spPr>
        </c:majorGridlines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C8C8C8"/>
                </a:solidFill>
              </a:defRPr>
            </a:pPr>
            <a:endParaRPr lang="pt-BR"/>
          </a:p>
        </c:txPr>
        <c:crossAx val="89713608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r"/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alculadora_Simples!A1"/><Relationship Id="rId7" Type="http://schemas.openxmlformats.org/officeDocument/2006/relationships/hyperlink" Target="#Dashboard!A1"/><Relationship Id="rId2" Type="http://schemas.openxmlformats.org/officeDocument/2006/relationships/hyperlink" Target="#Configura&#231;&#245;es!A1"/><Relationship Id="rId1" Type="http://schemas.openxmlformats.org/officeDocument/2006/relationships/hyperlink" Target="#Instru&#231;&#245;es!A1"/><Relationship Id="rId6" Type="http://schemas.openxmlformats.org/officeDocument/2006/relationships/hyperlink" Target="#' Transi&#231;&#227;o_2026-2033'!A1"/><Relationship Id="rId5" Type="http://schemas.openxmlformats.org/officeDocument/2006/relationships/hyperlink" Target="#Simulador_de_Cr&#233;ditos!A1"/><Relationship Id="rId4" Type="http://schemas.openxmlformats.org/officeDocument/2006/relationships/hyperlink" Target="#Comparativo_por_Regi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alculadora_Simples!A1"/><Relationship Id="rId7" Type="http://schemas.openxmlformats.org/officeDocument/2006/relationships/hyperlink" Target="#Dashboard!A1"/><Relationship Id="rId2" Type="http://schemas.openxmlformats.org/officeDocument/2006/relationships/hyperlink" Target="#Configura&#231;&#245;es!A1"/><Relationship Id="rId1" Type="http://schemas.openxmlformats.org/officeDocument/2006/relationships/hyperlink" Target="#Instru&#231;&#245;es!A1"/><Relationship Id="rId6" Type="http://schemas.openxmlformats.org/officeDocument/2006/relationships/hyperlink" Target="#' Transi&#231;&#227;o_2026-2033'!A1"/><Relationship Id="rId5" Type="http://schemas.openxmlformats.org/officeDocument/2006/relationships/hyperlink" Target="#Simulador_de_Cr&#233;ditos!A1"/><Relationship Id="rId4" Type="http://schemas.openxmlformats.org/officeDocument/2006/relationships/hyperlink" Target="#Comparativo_por_Regi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lculadora_Simples!A1"/><Relationship Id="rId7" Type="http://schemas.openxmlformats.org/officeDocument/2006/relationships/hyperlink" Target="#Dashboard!A1"/><Relationship Id="rId2" Type="http://schemas.openxmlformats.org/officeDocument/2006/relationships/hyperlink" Target="#Configura&#231;&#245;es!A1"/><Relationship Id="rId1" Type="http://schemas.openxmlformats.org/officeDocument/2006/relationships/hyperlink" Target="#Instru&#231;&#245;es!A1"/><Relationship Id="rId6" Type="http://schemas.openxmlformats.org/officeDocument/2006/relationships/hyperlink" Target="#' Transi&#231;&#227;o_2026-2033'!A1"/><Relationship Id="rId5" Type="http://schemas.openxmlformats.org/officeDocument/2006/relationships/hyperlink" Target="#Simulador_de_Cr&#233;ditos!A1"/><Relationship Id="rId4" Type="http://schemas.openxmlformats.org/officeDocument/2006/relationships/hyperlink" Target="#Comparativo_por_Regi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alculadora_Simples!A1"/><Relationship Id="rId7" Type="http://schemas.openxmlformats.org/officeDocument/2006/relationships/hyperlink" Target="#Dashboard!A1"/><Relationship Id="rId2" Type="http://schemas.openxmlformats.org/officeDocument/2006/relationships/hyperlink" Target="#Configura&#231;&#245;es!A1"/><Relationship Id="rId1" Type="http://schemas.openxmlformats.org/officeDocument/2006/relationships/hyperlink" Target="#Instru&#231;&#245;es!A1"/><Relationship Id="rId6" Type="http://schemas.openxmlformats.org/officeDocument/2006/relationships/hyperlink" Target="#' Transi&#231;&#227;o_2026-2033'!A1"/><Relationship Id="rId5" Type="http://schemas.openxmlformats.org/officeDocument/2006/relationships/hyperlink" Target="#Simulador_de_Cr&#233;ditos!A1"/><Relationship Id="rId4" Type="http://schemas.openxmlformats.org/officeDocument/2006/relationships/hyperlink" Target="#Comparativo_por_Regi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alculadora_Simples!A1"/><Relationship Id="rId7" Type="http://schemas.openxmlformats.org/officeDocument/2006/relationships/hyperlink" Target="#Dashboard!A1"/><Relationship Id="rId2" Type="http://schemas.openxmlformats.org/officeDocument/2006/relationships/hyperlink" Target="#Configura&#231;&#245;es!A1"/><Relationship Id="rId1" Type="http://schemas.openxmlformats.org/officeDocument/2006/relationships/hyperlink" Target="#Instru&#231;&#245;es!A1"/><Relationship Id="rId6" Type="http://schemas.openxmlformats.org/officeDocument/2006/relationships/hyperlink" Target="#' Transi&#231;&#227;o_2026-2033'!A1"/><Relationship Id="rId5" Type="http://schemas.openxmlformats.org/officeDocument/2006/relationships/hyperlink" Target="#Simulador_de_Cr&#233;ditos!A1"/><Relationship Id="rId4" Type="http://schemas.openxmlformats.org/officeDocument/2006/relationships/hyperlink" Target="#Comparativo_por_Regi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alculadora_Simples!A1"/><Relationship Id="rId7" Type="http://schemas.openxmlformats.org/officeDocument/2006/relationships/hyperlink" Target="#Dashboard!A1"/><Relationship Id="rId2" Type="http://schemas.openxmlformats.org/officeDocument/2006/relationships/hyperlink" Target="#Configura&#231;&#245;es!A1"/><Relationship Id="rId1" Type="http://schemas.openxmlformats.org/officeDocument/2006/relationships/hyperlink" Target="#Instru&#231;&#245;es!A1"/><Relationship Id="rId6" Type="http://schemas.openxmlformats.org/officeDocument/2006/relationships/hyperlink" Target="#' Transi&#231;&#227;o_2026-2033'!A1"/><Relationship Id="rId5" Type="http://schemas.openxmlformats.org/officeDocument/2006/relationships/hyperlink" Target="#Simulador_de_Cr&#233;ditos!A1"/><Relationship Id="rId4" Type="http://schemas.openxmlformats.org/officeDocument/2006/relationships/hyperlink" Target="#Comparativo_por_Regim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hyperlink" Target="#Calculadora_Simples!A1"/><Relationship Id="rId7" Type="http://schemas.openxmlformats.org/officeDocument/2006/relationships/hyperlink" Target="#Dashboard!A1"/><Relationship Id="rId2" Type="http://schemas.openxmlformats.org/officeDocument/2006/relationships/hyperlink" Target="#Configura&#231;&#245;es!A1"/><Relationship Id="rId1" Type="http://schemas.openxmlformats.org/officeDocument/2006/relationships/hyperlink" Target="#Instru&#231;&#245;es!A1"/><Relationship Id="rId6" Type="http://schemas.openxmlformats.org/officeDocument/2006/relationships/hyperlink" Target="#' Transi&#231;&#227;o_2026-2033'!A1"/><Relationship Id="rId5" Type="http://schemas.openxmlformats.org/officeDocument/2006/relationships/hyperlink" Target="#Simulador_de_Cr&#233;ditos!A1"/><Relationship Id="rId4" Type="http://schemas.openxmlformats.org/officeDocument/2006/relationships/hyperlink" Target="#Comparativo_por_Regime!A1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1280160</xdr:colOff>
      <xdr:row>38</xdr:row>
      <xdr:rowOff>7620</xdr:rowOff>
    </xdr:to>
    <xdr:sp macro="" textlink="">
      <xdr:nvSpPr>
        <xdr:cNvPr id="11" name="Design_Sidebar">
          <a:extLst>
            <a:ext uri="{FF2B5EF4-FFF2-40B4-BE49-F238E27FC236}">
              <a16:creationId xmlns:a16="http://schemas.microsoft.com/office/drawing/2014/main" id="{1640EDFE-F223-4DED-B45C-A953929D4F26}"/>
            </a:ext>
          </a:extLst>
        </xdr:cNvPr>
        <xdr:cNvSpPr/>
      </xdr:nvSpPr>
      <xdr:spPr>
        <a:xfrm>
          <a:off x="0" y="0"/>
          <a:ext cx="1280160" cy="8275320"/>
        </a:xfrm>
        <a:prstGeom prst="rect">
          <a:avLst/>
        </a:prstGeom>
        <a:solidFill>
          <a:srgbClr val="1B1F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127000</xdr:colOff>
      <xdr:row>2</xdr:row>
      <xdr:rowOff>165100</xdr:rowOff>
    </xdr:from>
    <xdr:to>
      <xdr:col>0</xdr:col>
      <xdr:colOff>1189000</xdr:colOff>
      <xdr:row>5</xdr:row>
      <xdr:rowOff>50800</xdr:rowOff>
    </xdr:to>
    <xdr:sp macro="" textlink="">
      <xdr:nvSpPr>
        <xdr:cNvPr id="12" name="Design_Bt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9B3894-E84B-45E0-8AD1-24CF5FAAAA6A}"/>
            </a:ext>
          </a:extLst>
        </xdr:cNvPr>
        <xdr:cNvSpPr/>
      </xdr:nvSpPr>
      <xdr:spPr>
        <a:xfrm>
          <a:off x="127000" y="508000"/>
          <a:ext cx="1062000" cy="571500"/>
        </a:xfrm>
        <a:prstGeom prst="roundRect">
          <a:avLst>
            <a:gd name="adj" fmla="val 10000"/>
          </a:avLst>
        </a:prstGeom>
        <a:solidFill>
          <a:srgbClr val="00D37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Instruções</a:t>
          </a:r>
        </a:p>
      </xdr:txBody>
    </xdr:sp>
    <xdr:clientData/>
  </xdr:twoCellAnchor>
  <xdr:twoCellAnchor>
    <xdr:from>
      <xdr:col>0</xdr:col>
      <xdr:colOff>127000</xdr:colOff>
      <xdr:row>5</xdr:row>
      <xdr:rowOff>177800</xdr:rowOff>
    </xdr:from>
    <xdr:to>
      <xdr:col>0</xdr:col>
      <xdr:colOff>1189000</xdr:colOff>
      <xdr:row>8</xdr:row>
      <xdr:rowOff>109220</xdr:rowOff>
    </xdr:to>
    <xdr:sp macro="" textlink="">
      <xdr:nvSpPr>
        <xdr:cNvPr id="13" name="Design_Bt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C2D225E-EB28-492E-9472-28BFBA2934A8}"/>
            </a:ext>
          </a:extLst>
        </xdr:cNvPr>
        <xdr:cNvSpPr/>
      </xdr:nvSpPr>
      <xdr:spPr>
        <a:xfrm>
          <a:off x="127000" y="1206500"/>
          <a:ext cx="1062000" cy="5715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Configurações</a:t>
          </a:r>
        </a:p>
      </xdr:txBody>
    </xdr:sp>
    <xdr:clientData/>
  </xdr:twoCellAnchor>
  <xdr:twoCellAnchor>
    <xdr:from>
      <xdr:col>0</xdr:col>
      <xdr:colOff>127000</xdr:colOff>
      <xdr:row>9</xdr:row>
      <xdr:rowOff>22860</xdr:rowOff>
    </xdr:from>
    <xdr:to>
      <xdr:col>0</xdr:col>
      <xdr:colOff>1189000</xdr:colOff>
      <xdr:row>11</xdr:row>
      <xdr:rowOff>167640</xdr:rowOff>
    </xdr:to>
    <xdr:sp macro="" textlink="">
      <xdr:nvSpPr>
        <xdr:cNvPr id="14" name="Design_Bt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68F382-D415-4EEE-8DDB-93830975F222}"/>
            </a:ext>
          </a:extLst>
        </xdr:cNvPr>
        <xdr:cNvSpPr/>
      </xdr:nvSpPr>
      <xdr:spPr>
        <a:xfrm>
          <a:off x="127000" y="1905000"/>
          <a:ext cx="1062000" cy="5715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Calculadora Simples</a:t>
          </a:r>
        </a:p>
      </xdr:txBody>
    </xdr:sp>
    <xdr:clientData/>
  </xdr:twoCellAnchor>
  <xdr:twoCellAnchor>
    <xdr:from>
      <xdr:col>0</xdr:col>
      <xdr:colOff>127000</xdr:colOff>
      <xdr:row>12</xdr:row>
      <xdr:rowOff>81280</xdr:rowOff>
    </xdr:from>
    <xdr:to>
      <xdr:col>0</xdr:col>
      <xdr:colOff>1189000</xdr:colOff>
      <xdr:row>15</xdr:row>
      <xdr:rowOff>12700</xdr:rowOff>
    </xdr:to>
    <xdr:sp macro="" textlink="">
      <xdr:nvSpPr>
        <xdr:cNvPr id="15" name="Design_Bt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94B5B6-27D0-457B-A48E-954EE314F226}"/>
            </a:ext>
          </a:extLst>
        </xdr:cNvPr>
        <xdr:cNvSpPr/>
      </xdr:nvSpPr>
      <xdr:spPr>
        <a:xfrm>
          <a:off x="127000" y="2603500"/>
          <a:ext cx="1062000" cy="5715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Comparativo por Regime</a:t>
          </a:r>
        </a:p>
      </xdr:txBody>
    </xdr:sp>
    <xdr:clientData/>
  </xdr:twoCellAnchor>
  <xdr:twoCellAnchor>
    <xdr:from>
      <xdr:col>0</xdr:col>
      <xdr:colOff>127000</xdr:colOff>
      <xdr:row>15</xdr:row>
      <xdr:rowOff>139700</xdr:rowOff>
    </xdr:from>
    <xdr:to>
      <xdr:col>0</xdr:col>
      <xdr:colOff>1189000</xdr:colOff>
      <xdr:row>18</xdr:row>
      <xdr:rowOff>71120</xdr:rowOff>
    </xdr:to>
    <xdr:sp macro="" textlink="">
      <xdr:nvSpPr>
        <xdr:cNvPr id="16" name="Design_Bt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04F86DA-9EF6-4D21-9CAA-DDEF24B6A92B}"/>
            </a:ext>
          </a:extLst>
        </xdr:cNvPr>
        <xdr:cNvSpPr/>
      </xdr:nvSpPr>
      <xdr:spPr>
        <a:xfrm>
          <a:off x="127000" y="3302000"/>
          <a:ext cx="1062000" cy="5715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Simulador de Créditos</a:t>
          </a:r>
        </a:p>
      </xdr:txBody>
    </xdr:sp>
    <xdr:clientData/>
  </xdr:twoCellAnchor>
  <xdr:twoCellAnchor>
    <xdr:from>
      <xdr:col>0</xdr:col>
      <xdr:colOff>127000</xdr:colOff>
      <xdr:row>18</xdr:row>
      <xdr:rowOff>198120</xdr:rowOff>
    </xdr:from>
    <xdr:to>
      <xdr:col>0</xdr:col>
      <xdr:colOff>1189000</xdr:colOff>
      <xdr:row>21</xdr:row>
      <xdr:rowOff>129540</xdr:rowOff>
    </xdr:to>
    <xdr:sp macro="" textlink="">
      <xdr:nvSpPr>
        <xdr:cNvPr id="17" name="Design_Bt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03D745-6665-4C8D-9820-E3A417FFCD9D}"/>
            </a:ext>
          </a:extLst>
        </xdr:cNvPr>
        <xdr:cNvSpPr/>
      </xdr:nvSpPr>
      <xdr:spPr>
        <a:xfrm>
          <a:off x="127000" y="4000500"/>
          <a:ext cx="1062000" cy="5715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 Transição 2026 - 2033</a:t>
          </a:r>
        </a:p>
      </xdr:txBody>
    </xdr:sp>
    <xdr:clientData/>
  </xdr:twoCellAnchor>
  <xdr:twoCellAnchor>
    <xdr:from>
      <xdr:col>0</xdr:col>
      <xdr:colOff>127000</xdr:colOff>
      <xdr:row>22</xdr:row>
      <xdr:rowOff>43180</xdr:rowOff>
    </xdr:from>
    <xdr:to>
      <xdr:col>0</xdr:col>
      <xdr:colOff>1189000</xdr:colOff>
      <xdr:row>24</xdr:row>
      <xdr:rowOff>187960</xdr:rowOff>
    </xdr:to>
    <xdr:sp macro="" textlink="">
      <xdr:nvSpPr>
        <xdr:cNvPr id="18" name="Design_Bt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3EBDECE-9433-44B3-AE1B-F4618246DB64}"/>
            </a:ext>
          </a:extLst>
        </xdr:cNvPr>
        <xdr:cNvSpPr/>
      </xdr:nvSpPr>
      <xdr:spPr>
        <a:xfrm>
          <a:off x="127000" y="4699000"/>
          <a:ext cx="1062000" cy="5715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8462</xdr:colOff>
      <xdr:row>0</xdr:row>
      <xdr:rowOff>7620</xdr:rowOff>
    </xdr:from>
    <xdr:to>
      <xdr:col>0</xdr:col>
      <xdr:colOff>1290062</xdr:colOff>
      <xdr:row>37</xdr:row>
      <xdr:rowOff>130386</xdr:rowOff>
    </xdr:to>
    <xdr:sp macro="" textlink="">
      <xdr:nvSpPr>
        <xdr:cNvPr id="10" name="Design_Sidebar">
          <a:extLst>
            <a:ext uri="{FF2B5EF4-FFF2-40B4-BE49-F238E27FC236}">
              <a16:creationId xmlns:a16="http://schemas.microsoft.com/office/drawing/2014/main" id="{F04203B7-90BC-4900-B540-AE92E28F24B2}"/>
            </a:ext>
          </a:extLst>
        </xdr:cNvPr>
        <xdr:cNvSpPr/>
      </xdr:nvSpPr>
      <xdr:spPr>
        <a:xfrm>
          <a:off x="8462" y="7620"/>
          <a:ext cx="1281600" cy="8474286"/>
        </a:xfrm>
        <a:prstGeom prst="rect">
          <a:avLst/>
        </a:prstGeom>
        <a:solidFill>
          <a:srgbClr val="1B1F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135462</xdr:colOff>
      <xdr:row>3</xdr:row>
      <xdr:rowOff>59261</xdr:rowOff>
    </xdr:from>
    <xdr:to>
      <xdr:col>0</xdr:col>
      <xdr:colOff>1197462</xdr:colOff>
      <xdr:row>5</xdr:row>
      <xdr:rowOff>6821</xdr:rowOff>
    </xdr:to>
    <xdr:sp macro="" textlink="">
      <xdr:nvSpPr>
        <xdr:cNvPr id="11" name="Design_Bt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93E817-012C-49C5-BF30-9609978B0DFE}"/>
            </a:ext>
          </a:extLst>
        </xdr:cNvPr>
        <xdr:cNvSpPr/>
      </xdr:nvSpPr>
      <xdr:spPr>
        <a:xfrm>
          <a:off x="135462" y="828881"/>
          <a:ext cx="106200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Instruções</a:t>
          </a:r>
        </a:p>
      </xdr:txBody>
    </xdr:sp>
    <xdr:clientData/>
  </xdr:twoCellAnchor>
  <xdr:twoCellAnchor>
    <xdr:from>
      <xdr:col>0</xdr:col>
      <xdr:colOff>135462</xdr:colOff>
      <xdr:row>5</xdr:row>
      <xdr:rowOff>100749</xdr:rowOff>
    </xdr:from>
    <xdr:to>
      <xdr:col>0</xdr:col>
      <xdr:colOff>1197182</xdr:colOff>
      <xdr:row>8</xdr:row>
      <xdr:rowOff>2589</xdr:rowOff>
    </xdr:to>
    <xdr:sp macro="" textlink="">
      <xdr:nvSpPr>
        <xdr:cNvPr id="12" name="Design_Bt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B9E33-C3E9-469B-9080-1B44542F614D}"/>
            </a:ext>
          </a:extLst>
        </xdr:cNvPr>
        <xdr:cNvSpPr/>
      </xdr:nvSpPr>
      <xdr:spPr>
        <a:xfrm>
          <a:off x="135462" y="1495209"/>
          <a:ext cx="1061720" cy="572400"/>
        </a:xfrm>
        <a:prstGeom prst="roundRect">
          <a:avLst>
            <a:gd name="adj" fmla="val 10000"/>
          </a:avLst>
        </a:prstGeom>
        <a:solidFill>
          <a:srgbClr val="00D37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Configurações</a:t>
          </a:r>
        </a:p>
      </xdr:txBody>
    </xdr:sp>
    <xdr:clientData/>
  </xdr:twoCellAnchor>
  <xdr:twoCellAnchor>
    <xdr:from>
      <xdr:col>0</xdr:col>
      <xdr:colOff>135462</xdr:colOff>
      <xdr:row>8</xdr:row>
      <xdr:rowOff>99902</xdr:rowOff>
    </xdr:from>
    <xdr:to>
      <xdr:col>0</xdr:col>
      <xdr:colOff>1197462</xdr:colOff>
      <xdr:row>11</xdr:row>
      <xdr:rowOff>32222</xdr:rowOff>
    </xdr:to>
    <xdr:sp macro="" textlink="">
      <xdr:nvSpPr>
        <xdr:cNvPr id="13" name="Design_Bt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6415A6-8542-4083-AB8B-DE6869A3A79E}"/>
            </a:ext>
          </a:extLst>
        </xdr:cNvPr>
        <xdr:cNvSpPr/>
      </xdr:nvSpPr>
      <xdr:spPr>
        <a:xfrm>
          <a:off x="135462" y="2164922"/>
          <a:ext cx="1062000" cy="580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Calculadora Simples</a:t>
          </a:r>
        </a:p>
      </xdr:txBody>
    </xdr:sp>
    <xdr:clientData/>
  </xdr:twoCellAnchor>
  <xdr:twoCellAnchor>
    <xdr:from>
      <xdr:col>0</xdr:col>
      <xdr:colOff>135462</xdr:colOff>
      <xdr:row>11</xdr:row>
      <xdr:rowOff>124455</xdr:rowOff>
    </xdr:from>
    <xdr:to>
      <xdr:col>0</xdr:col>
      <xdr:colOff>1197462</xdr:colOff>
      <xdr:row>14</xdr:row>
      <xdr:rowOff>59261</xdr:rowOff>
    </xdr:to>
    <xdr:sp macro="" textlink="">
      <xdr:nvSpPr>
        <xdr:cNvPr id="14" name="Design_Bt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607BA1-AC2D-47E6-AADE-C632CA640B56}"/>
            </a:ext>
          </a:extLst>
        </xdr:cNvPr>
        <xdr:cNvSpPr/>
      </xdr:nvSpPr>
      <xdr:spPr>
        <a:xfrm>
          <a:off x="135462" y="2837175"/>
          <a:ext cx="1062000" cy="605366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Comparativo por Regime</a:t>
          </a:r>
        </a:p>
      </xdr:txBody>
    </xdr:sp>
    <xdr:clientData/>
  </xdr:twoCellAnchor>
  <xdr:twoCellAnchor>
    <xdr:from>
      <xdr:col>0</xdr:col>
      <xdr:colOff>135462</xdr:colOff>
      <xdr:row>14</xdr:row>
      <xdr:rowOff>186262</xdr:rowOff>
    </xdr:from>
    <xdr:to>
      <xdr:col>0</xdr:col>
      <xdr:colOff>1197462</xdr:colOff>
      <xdr:row>17</xdr:row>
      <xdr:rowOff>83816</xdr:rowOff>
    </xdr:to>
    <xdr:sp macro="" textlink="">
      <xdr:nvSpPr>
        <xdr:cNvPr id="15" name="Design_Bt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7719F72-7A64-44F6-AAC9-329EB830A54C}"/>
            </a:ext>
          </a:extLst>
        </xdr:cNvPr>
        <xdr:cNvSpPr/>
      </xdr:nvSpPr>
      <xdr:spPr>
        <a:xfrm>
          <a:off x="135462" y="3569542"/>
          <a:ext cx="1062000" cy="537634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Simulador de Céditos</a:t>
          </a:r>
        </a:p>
      </xdr:txBody>
    </xdr:sp>
    <xdr:clientData/>
  </xdr:twoCellAnchor>
  <xdr:twoCellAnchor>
    <xdr:from>
      <xdr:col>0</xdr:col>
      <xdr:colOff>135462</xdr:colOff>
      <xdr:row>17</xdr:row>
      <xdr:rowOff>210816</xdr:rowOff>
    </xdr:from>
    <xdr:to>
      <xdr:col>0</xdr:col>
      <xdr:colOff>1197462</xdr:colOff>
      <xdr:row>20</xdr:row>
      <xdr:rowOff>145623</xdr:rowOff>
    </xdr:to>
    <xdr:sp macro="" textlink="">
      <xdr:nvSpPr>
        <xdr:cNvPr id="16" name="Design_Bt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576743-A1CB-4D31-8E48-A9E22FE14651}"/>
            </a:ext>
          </a:extLst>
        </xdr:cNvPr>
        <xdr:cNvSpPr/>
      </xdr:nvSpPr>
      <xdr:spPr>
        <a:xfrm>
          <a:off x="135462" y="4234176"/>
          <a:ext cx="1062000" cy="605367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 Transição 2026 - 2033</a:t>
          </a:r>
        </a:p>
      </xdr:txBody>
    </xdr:sp>
    <xdr:clientData/>
  </xdr:twoCellAnchor>
  <xdr:twoCellAnchor>
    <xdr:from>
      <xdr:col>0</xdr:col>
      <xdr:colOff>135462</xdr:colOff>
      <xdr:row>21</xdr:row>
      <xdr:rowOff>59263</xdr:rowOff>
    </xdr:from>
    <xdr:to>
      <xdr:col>0</xdr:col>
      <xdr:colOff>1197462</xdr:colOff>
      <xdr:row>23</xdr:row>
      <xdr:rowOff>173563</xdr:rowOff>
    </xdr:to>
    <xdr:sp macro="" textlink="">
      <xdr:nvSpPr>
        <xdr:cNvPr id="17" name="Design_Bt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A6FFFBF-E506-4161-8FFC-A4921BA61C99}"/>
            </a:ext>
          </a:extLst>
        </xdr:cNvPr>
        <xdr:cNvSpPr/>
      </xdr:nvSpPr>
      <xdr:spPr>
        <a:xfrm>
          <a:off x="135462" y="4966543"/>
          <a:ext cx="1062000" cy="541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0</xdr:col>
      <xdr:colOff>1281600</xdr:colOff>
      <xdr:row>38</xdr:row>
      <xdr:rowOff>0</xdr:rowOff>
    </xdr:to>
    <xdr:sp macro="" textlink="">
      <xdr:nvSpPr>
        <xdr:cNvPr id="10" name="Design_Sidebar">
          <a:extLst>
            <a:ext uri="{FF2B5EF4-FFF2-40B4-BE49-F238E27FC236}">
              <a16:creationId xmlns:a16="http://schemas.microsoft.com/office/drawing/2014/main" id="{90FF6F90-6D2C-4AE1-A0C4-01440B031C9C}"/>
            </a:ext>
          </a:extLst>
        </xdr:cNvPr>
        <xdr:cNvSpPr/>
      </xdr:nvSpPr>
      <xdr:spPr>
        <a:xfrm>
          <a:off x="0" y="7620"/>
          <a:ext cx="1281600" cy="9433560"/>
        </a:xfrm>
        <a:prstGeom prst="rect">
          <a:avLst/>
        </a:prstGeom>
        <a:solidFill>
          <a:srgbClr val="1B1F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127000</xdr:colOff>
      <xdr:row>3</xdr:row>
      <xdr:rowOff>59261</xdr:rowOff>
    </xdr:from>
    <xdr:to>
      <xdr:col>0</xdr:col>
      <xdr:colOff>1189000</xdr:colOff>
      <xdr:row>5</xdr:row>
      <xdr:rowOff>6821</xdr:rowOff>
    </xdr:to>
    <xdr:sp macro="" textlink="">
      <xdr:nvSpPr>
        <xdr:cNvPr id="11" name="Design_Bt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401A70-5438-4802-9D20-5FDEDB877045}"/>
            </a:ext>
          </a:extLst>
        </xdr:cNvPr>
        <xdr:cNvSpPr/>
      </xdr:nvSpPr>
      <xdr:spPr>
        <a:xfrm>
          <a:off x="127000" y="828881"/>
          <a:ext cx="106200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Instruções</a:t>
          </a:r>
        </a:p>
      </xdr:txBody>
    </xdr:sp>
    <xdr:clientData/>
  </xdr:twoCellAnchor>
  <xdr:twoCellAnchor>
    <xdr:from>
      <xdr:col>0</xdr:col>
      <xdr:colOff>127000</xdr:colOff>
      <xdr:row>5</xdr:row>
      <xdr:rowOff>100749</xdr:rowOff>
    </xdr:from>
    <xdr:to>
      <xdr:col>0</xdr:col>
      <xdr:colOff>1188720</xdr:colOff>
      <xdr:row>7</xdr:row>
      <xdr:rowOff>185469</xdr:rowOff>
    </xdr:to>
    <xdr:sp macro="" textlink="">
      <xdr:nvSpPr>
        <xdr:cNvPr id="12" name="Design_Bt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F37C467-BDB5-47F2-9F32-5AD6A992DEBE}"/>
            </a:ext>
          </a:extLst>
        </xdr:cNvPr>
        <xdr:cNvSpPr/>
      </xdr:nvSpPr>
      <xdr:spPr>
        <a:xfrm>
          <a:off x="127000" y="1495209"/>
          <a:ext cx="106172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Configurações</a:t>
          </a:r>
        </a:p>
      </xdr:txBody>
    </xdr:sp>
    <xdr:clientData/>
  </xdr:twoCellAnchor>
  <xdr:twoCellAnchor>
    <xdr:from>
      <xdr:col>0</xdr:col>
      <xdr:colOff>127000</xdr:colOff>
      <xdr:row>8</xdr:row>
      <xdr:rowOff>38942</xdr:rowOff>
    </xdr:from>
    <xdr:to>
      <xdr:col>0</xdr:col>
      <xdr:colOff>1189000</xdr:colOff>
      <xdr:row>10</xdr:row>
      <xdr:rowOff>131282</xdr:rowOff>
    </xdr:to>
    <xdr:sp macro="" textlink="">
      <xdr:nvSpPr>
        <xdr:cNvPr id="13" name="Design_Bt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AFC1EF-4246-49D7-9C9D-F8755610DB42}"/>
            </a:ext>
          </a:extLst>
        </xdr:cNvPr>
        <xdr:cNvSpPr/>
      </xdr:nvSpPr>
      <xdr:spPr>
        <a:xfrm>
          <a:off x="127000" y="2164922"/>
          <a:ext cx="1062000" cy="580020"/>
        </a:xfrm>
        <a:prstGeom prst="roundRect">
          <a:avLst>
            <a:gd name="adj" fmla="val 10000"/>
          </a:avLst>
        </a:prstGeom>
        <a:solidFill>
          <a:srgbClr val="00D37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Calculadora Simples</a:t>
          </a:r>
        </a:p>
      </xdr:txBody>
    </xdr:sp>
    <xdr:clientData/>
  </xdr:twoCellAnchor>
  <xdr:twoCellAnchor>
    <xdr:from>
      <xdr:col>0</xdr:col>
      <xdr:colOff>127000</xdr:colOff>
      <xdr:row>10</xdr:row>
      <xdr:rowOff>223515</xdr:rowOff>
    </xdr:from>
    <xdr:to>
      <xdr:col>0</xdr:col>
      <xdr:colOff>1189000</xdr:colOff>
      <xdr:row>13</xdr:row>
      <xdr:rowOff>97361</xdr:rowOff>
    </xdr:to>
    <xdr:sp macro="" textlink="">
      <xdr:nvSpPr>
        <xdr:cNvPr id="14" name="Design_Bt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EE805C8-B430-4CCB-A1E6-35E11A473745}"/>
            </a:ext>
          </a:extLst>
        </xdr:cNvPr>
        <xdr:cNvSpPr/>
      </xdr:nvSpPr>
      <xdr:spPr>
        <a:xfrm>
          <a:off x="127000" y="2837175"/>
          <a:ext cx="1062000" cy="605366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Comparativo por Regime</a:t>
          </a:r>
        </a:p>
      </xdr:txBody>
    </xdr:sp>
    <xdr:clientData/>
  </xdr:twoCellAnchor>
  <xdr:twoCellAnchor>
    <xdr:from>
      <xdr:col>0</xdr:col>
      <xdr:colOff>127000</xdr:colOff>
      <xdr:row>13</xdr:row>
      <xdr:rowOff>224362</xdr:rowOff>
    </xdr:from>
    <xdr:to>
      <xdr:col>0</xdr:col>
      <xdr:colOff>1189000</xdr:colOff>
      <xdr:row>16</xdr:row>
      <xdr:rowOff>30476</xdr:rowOff>
    </xdr:to>
    <xdr:sp macro="" textlink="">
      <xdr:nvSpPr>
        <xdr:cNvPr id="15" name="Design_Bt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F1D2D01-8317-4022-B047-139788449B93}"/>
            </a:ext>
          </a:extLst>
        </xdr:cNvPr>
        <xdr:cNvSpPr/>
      </xdr:nvSpPr>
      <xdr:spPr>
        <a:xfrm>
          <a:off x="127000" y="3569542"/>
          <a:ext cx="1062000" cy="537634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Simulador de Céditos</a:t>
          </a:r>
        </a:p>
      </xdr:txBody>
    </xdr:sp>
    <xdr:clientData/>
  </xdr:twoCellAnchor>
  <xdr:twoCellAnchor>
    <xdr:from>
      <xdr:col>0</xdr:col>
      <xdr:colOff>127000</xdr:colOff>
      <xdr:row>16</xdr:row>
      <xdr:rowOff>157476</xdr:rowOff>
    </xdr:from>
    <xdr:to>
      <xdr:col>0</xdr:col>
      <xdr:colOff>1189000</xdr:colOff>
      <xdr:row>19</xdr:row>
      <xdr:rowOff>31323</xdr:rowOff>
    </xdr:to>
    <xdr:sp macro="" textlink="">
      <xdr:nvSpPr>
        <xdr:cNvPr id="16" name="Design_Bt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359849-5E9D-4E1D-A4C5-593FCD7554ED}"/>
            </a:ext>
          </a:extLst>
        </xdr:cNvPr>
        <xdr:cNvSpPr/>
      </xdr:nvSpPr>
      <xdr:spPr>
        <a:xfrm>
          <a:off x="127000" y="4234176"/>
          <a:ext cx="1062000" cy="605367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 Transição 2026 - 2033</a:t>
          </a:r>
        </a:p>
      </xdr:txBody>
    </xdr:sp>
    <xdr:clientData/>
  </xdr:twoCellAnchor>
  <xdr:twoCellAnchor>
    <xdr:from>
      <xdr:col>0</xdr:col>
      <xdr:colOff>127000</xdr:colOff>
      <xdr:row>19</xdr:row>
      <xdr:rowOff>158323</xdr:rowOff>
    </xdr:from>
    <xdr:to>
      <xdr:col>0</xdr:col>
      <xdr:colOff>1189000</xdr:colOff>
      <xdr:row>21</xdr:row>
      <xdr:rowOff>211663</xdr:rowOff>
    </xdr:to>
    <xdr:sp macro="" textlink="">
      <xdr:nvSpPr>
        <xdr:cNvPr id="17" name="Design_Bt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543658E-1098-49C7-A1C1-F121A383DFD1}"/>
            </a:ext>
          </a:extLst>
        </xdr:cNvPr>
        <xdr:cNvSpPr/>
      </xdr:nvSpPr>
      <xdr:spPr>
        <a:xfrm>
          <a:off x="127000" y="4966543"/>
          <a:ext cx="1062000" cy="541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0</xdr:col>
      <xdr:colOff>1281600</xdr:colOff>
      <xdr:row>38</xdr:row>
      <xdr:rowOff>7620</xdr:rowOff>
    </xdr:to>
    <xdr:sp macro="" textlink="">
      <xdr:nvSpPr>
        <xdr:cNvPr id="2" name="Design_Sidebar">
          <a:extLst>
            <a:ext uri="{FF2B5EF4-FFF2-40B4-BE49-F238E27FC236}">
              <a16:creationId xmlns:a16="http://schemas.microsoft.com/office/drawing/2014/main" id="{CC911D02-87CD-4A15-8806-0EAEBE58F2FE}"/>
            </a:ext>
          </a:extLst>
        </xdr:cNvPr>
        <xdr:cNvSpPr/>
      </xdr:nvSpPr>
      <xdr:spPr>
        <a:xfrm>
          <a:off x="0" y="7620"/>
          <a:ext cx="1281600" cy="8595360"/>
        </a:xfrm>
        <a:prstGeom prst="rect">
          <a:avLst/>
        </a:prstGeom>
        <a:solidFill>
          <a:srgbClr val="1B1F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127000</xdr:colOff>
      <xdr:row>2</xdr:row>
      <xdr:rowOff>272621</xdr:rowOff>
    </xdr:from>
    <xdr:to>
      <xdr:col>0</xdr:col>
      <xdr:colOff>1189000</xdr:colOff>
      <xdr:row>4</xdr:row>
      <xdr:rowOff>159221</xdr:rowOff>
    </xdr:to>
    <xdr:sp macro="" textlink="">
      <xdr:nvSpPr>
        <xdr:cNvPr id="3" name="Design_Bt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2FFE0E-9028-4E7C-93F6-898EEEE70A3B}"/>
            </a:ext>
          </a:extLst>
        </xdr:cNvPr>
        <xdr:cNvSpPr/>
      </xdr:nvSpPr>
      <xdr:spPr>
        <a:xfrm>
          <a:off x="127000" y="828881"/>
          <a:ext cx="106200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Instruções</a:t>
          </a:r>
        </a:p>
      </xdr:txBody>
    </xdr:sp>
    <xdr:clientData/>
  </xdr:twoCellAnchor>
  <xdr:twoCellAnchor>
    <xdr:from>
      <xdr:col>0</xdr:col>
      <xdr:colOff>127000</xdr:colOff>
      <xdr:row>4</xdr:row>
      <xdr:rowOff>253149</xdr:rowOff>
    </xdr:from>
    <xdr:to>
      <xdr:col>0</xdr:col>
      <xdr:colOff>1188720</xdr:colOff>
      <xdr:row>7</xdr:row>
      <xdr:rowOff>86409</xdr:rowOff>
    </xdr:to>
    <xdr:sp macro="" textlink="">
      <xdr:nvSpPr>
        <xdr:cNvPr id="4" name="Design_Bt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5DDAC90-612E-4946-B617-E1A0293B6B0A}"/>
            </a:ext>
          </a:extLst>
        </xdr:cNvPr>
        <xdr:cNvSpPr/>
      </xdr:nvSpPr>
      <xdr:spPr>
        <a:xfrm>
          <a:off x="127000" y="1495209"/>
          <a:ext cx="106172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Configurações</a:t>
          </a:r>
        </a:p>
      </xdr:txBody>
    </xdr:sp>
    <xdr:clientData/>
  </xdr:twoCellAnchor>
  <xdr:twoCellAnchor>
    <xdr:from>
      <xdr:col>0</xdr:col>
      <xdr:colOff>127000</xdr:colOff>
      <xdr:row>7</xdr:row>
      <xdr:rowOff>183722</xdr:rowOff>
    </xdr:from>
    <xdr:to>
      <xdr:col>0</xdr:col>
      <xdr:colOff>1189000</xdr:colOff>
      <xdr:row>10</xdr:row>
      <xdr:rowOff>123662</xdr:rowOff>
    </xdr:to>
    <xdr:sp macro="" textlink="">
      <xdr:nvSpPr>
        <xdr:cNvPr id="5" name="Design_Bt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5679433-0BBD-4B33-9A57-19F40DCEDE7C}"/>
            </a:ext>
          </a:extLst>
        </xdr:cNvPr>
        <xdr:cNvSpPr/>
      </xdr:nvSpPr>
      <xdr:spPr>
        <a:xfrm>
          <a:off x="127000" y="2164922"/>
          <a:ext cx="1062000" cy="580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Calculadora Simples</a:t>
          </a:r>
        </a:p>
      </xdr:txBody>
    </xdr:sp>
    <xdr:clientData/>
  </xdr:twoCellAnchor>
  <xdr:twoCellAnchor>
    <xdr:from>
      <xdr:col>0</xdr:col>
      <xdr:colOff>127000</xdr:colOff>
      <xdr:row>11</xdr:row>
      <xdr:rowOff>2535</xdr:rowOff>
    </xdr:from>
    <xdr:to>
      <xdr:col>0</xdr:col>
      <xdr:colOff>1189000</xdr:colOff>
      <xdr:row>13</xdr:row>
      <xdr:rowOff>181181</xdr:rowOff>
    </xdr:to>
    <xdr:sp macro="" textlink="">
      <xdr:nvSpPr>
        <xdr:cNvPr id="6" name="Design_Bt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BC072D-E68C-447B-B157-EFA37B13D82D}"/>
            </a:ext>
          </a:extLst>
        </xdr:cNvPr>
        <xdr:cNvSpPr/>
      </xdr:nvSpPr>
      <xdr:spPr>
        <a:xfrm>
          <a:off x="127000" y="2837175"/>
          <a:ext cx="1062000" cy="605366"/>
        </a:xfrm>
        <a:prstGeom prst="roundRect">
          <a:avLst>
            <a:gd name="adj" fmla="val 10000"/>
          </a:avLst>
        </a:prstGeom>
        <a:solidFill>
          <a:srgbClr val="00D37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B0E11"/>
              </a:solidFill>
            </a:rPr>
            <a:t>Comparativo por Regime</a:t>
          </a:r>
        </a:p>
      </xdr:txBody>
    </xdr:sp>
    <xdr:clientData/>
  </xdr:twoCellAnchor>
  <xdr:twoCellAnchor>
    <xdr:from>
      <xdr:col>0</xdr:col>
      <xdr:colOff>127000</xdr:colOff>
      <xdr:row>14</xdr:row>
      <xdr:rowOff>94822</xdr:rowOff>
    </xdr:from>
    <xdr:to>
      <xdr:col>0</xdr:col>
      <xdr:colOff>1189000</xdr:colOff>
      <xdr:row>16</xdr:row>
      <xdr:rowOff>205736</xdr:rowOff>
    </xdr:to>
    <xdr:sp macro="" textlink="">
      <xdr:nvSpPr>
        <xdr:cNvPr id="7" name="Design_Bt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4107F73-DA26-4AD2-A611-93B22C43BDDF}"/>
            </a:ext>
          </a:extLst>
        </xdr:cNvPr>
        <xdr:cNvSpPr/>
      </xdr:nvSpPr>
      <xdr:spPr>
        <a:xfrm>
          <a:off x="127000" y="3569542"/>
          <a:ext cx="1062000" cy="537634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Simulador de Céditos</a:t>
          </a:r>
        </a:p>
      </xdr:txBody>
    </xdr:sp>
    <xdr:clientData/>
  </xdr:twoCellAnchor>
  <xdr:twoCellAnchor>
    <xdr:from>
      <xdr:col>0</xdr:col>
      <xdr:colOff>127000</xdr:colOff>
      <xdr:row>17</xdr:row>
      <xdr:rowOff>119376</xdr:rowOff>
    </xdr:from>
    <xdr:to>
      <xdr:col>0</xdr:col>
      <xdr:colOff>1189000</xdr:colOff>
      <xdr:row>20</xdr:row>
      <xdr:rowOff>84663</xdr:rowOff>
    </xdr:to>
    <xdr:sp macro="" textlink="">
      <xdr:nvSpPr>
        <xdr:cNvPr id="8" name="Design_Bt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5F844AA-7815-4095-8E33-5F76C01D7680}"/>
            </a:ext>
          </a:extLst>
        </xdr:cNvPr>
        <xdr:cNvSpPr/>
      </xdr:nvSpPr>
      <xdr:spPr>
        <a:xfrm>
          <a:off x="127000" y="4234176"/>
          <a:ext cx="1062000" cy="605367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 Transição 2026 - 2033</a:t>
          </a:r>
        </a:p>
      </xdr:txBody>
    </xdr:sp>
    <xdr:clientData/>
  </xdr:twoCellAnchor>
  <xdr:twoCellAnchor>
    <xdr:from>
      <xdr:col>0</xdr:col>
      <xdr:colOff>127000</xdr:colOff>
      <xdr:row>20</xdr:row>
      <xdr:rowOff>211663</xdr:rowOff>
    </xdr:from>
    <xdr:to>
      <xdr:col>0</xdr:col>
      <xdr:colOff>1189000</xdr:colOff>
      <xdr:row>23</xdr:row>
      <xdr:rowOff>112603</xdr:rowOff>
    </xdr:to>
    <xdr:sp macro="" textlink="">
      <xdr:nvSpPr>
        <xdr:cNvPr id="9" name="Design_Bt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14EFD0D-0674-4CAC-9639-DB74447A41DC}"/>
            </a:ext>
          </a:extLst>
        </xdr:cNvPr>
        <xdr:cNvSpPr/>
      </xdr:nvSpPr>
      <xdr:spPr>
        <a:xfrm>
          <a:off x="127000" y="4966543"/>
          <a:ext cx="1062000" cy="541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1281600</xdr:colOff>
      <xdr:row>38</xdr:row>
      <xdr:rowOff>0</xdr:rowOff>
    </xdr:to>
    <xdr:sp macro="" textlink="">
      <xdr:nvSpPr>
        <xdr:cNvPr id="10" name="Design_Sidebar">
          <a:extLst>
            <a:ext uri="{FF2B5EF4-FFF2-40B4-BE49-F238E27FC236}">
              <a16:creationId xmlns:a16="http://schemas.microsoft.com/office/drawing/2014/main" id="{90E3DDC1-6551-46F2-B942-EEB730400F6A}"/>
            </a:ext>
          </a:extLst>
        </xdr:cNvPr>
        <xdr:cNvSpPr/>
      </xdr:nvSpPr>
      <xdr:spPr>
        <a:xfrm>
          <a:off x="0" y="0"/>
          <a:ext cx="1281600" cy="8595360"/>
        </a:xfrm>
        <a:prstGeom prst="rect">
          <a:avLst/>
        </a:prstGeom>
        <a:solidFill>
          <a:srgbClr val="1B1F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127000</xdr:colOff>
      <xdr:row>2</xdr:row>
      <xdr:rowOff>265001</xdr:rowOff>
    </xdr:from>
    <xdr:to>
      <xdr:col>0</xdr:col>
      <xdr:colOff>1189000</xdr:colOff>
      <xdr:row>4</xdr:row>
      <xdr:rowOff>151601</xdr:rowOff>
    </xdr:to>
    <xdr:sp macro="" textlink="">
      <xdr:nvSpPr>
        <xdr:cNvPr id="11" name="Design_Bt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916196-D488-417F-9662-07C364487F8B}"/>
            </a:ext>
          </a:extLst>
        </xdr:cNvPr>
        <xdr:cNvSpPr/>
      </xdr:nvSpPr>
      <xdr:spPr>
        <a:xfrm>
          <a:off x="127000" y="821261"/>
          <a:ext cx="106200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Instruções</a:t>
          </a:r>
        </a:p>
      </xdr:txBody>
    </xdr:sp>
    <xdr:clientData/>
  </xdr:twoCellAnchor>
  <xdr:twoCellAnchor>
    <xdr:from>
      <xdr:col>0</xdr:col>
      <xdr:colOff>127000</xdr:colOff>
      <xdr:row>4</xdr:row>
      <xdr:rowOff>245529</xdr:rowOff>
    </xdr:from>
    <xdr:to>
      <xdr:col>0</xdr:col>
      <xdr:colOff>1188720</xdr:colOff>
      <xdr:row>7</xdr:row>
      <xdr:rowOff>78789</xdr:rowOff>
    </xdr:to>
    <xdr:sp macro="" textlink="">
      <xdr:nvSpPr>
        <xdr:cNvPr id="12" name="Design_Bt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E0EF50-C816-4596-8FB1-43A12935341C}"/>
            </a:ext>
          </a:extLst>
        </xdr:cNvPr>
        <xdr:cNvSpPr/>
      </xdr:nvSpPr>
      <xdr:spPr>
        <a:xfrm>
          <a:off x="127000" y="1487589"/>
          <a:ext cx="106172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Configurações</a:t>
          </a:r>
        </a:p>
      </xdr:txBody>
    </xdr:sp>
    <xdr:clientData/>
  </xdr:twoCellAnchor>
  <xdr:twoCellAnchor>
    <xdr:from>
      <xdr:col>0</xdr:col>
      <xdr:colOff>127000</xdr:colOff>
      <xdr:row>7</xdr:row>
      <xdr:rowOff>176102</xdr:rowOff>
    </xdr:from>
    <xdr:to>
      <xdr:col>0</xdr:col>
      <xdr:colOff>1189000</xdr:colOff>
      <xdr:row>10</xdr:row>
      <xdr:rowOff>116042</xdr:rowOff>
    </xdr:to>
    <xdr:sp macro="" textlink="">
      <xdr:nvSpPr>
        <xdr:cNvPr id="13" name="Design_Bt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B68499E-DFF6-4A7D-B382-68682B4BE4DC}"/>
            </a:ext>
          </a:extLst>
        </xdr:cNvPr>
        <xdr:cNvSpPr/>
      </xdr:nvSpPr>
      <xdr:spPr>
        <a:xfrm>
          <a:off x="127000" y="2157302"/>
          <a:ext cx="1062000" cy="580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Calculadora Simples</a:t>
          </a:r>
        </a:p>
      </xdr:txBody>
    </xdr:sp>
    <xdr:clientData/>
  </xdr:twoCellAnchor>
  <xdr:twoCellAnchor>
    <xdr:from>
      <xdr:col>0</xdr:col>
      <xdr:colOff>127000</xdr:colOff>
      <xdr:row>10</xdr:row>
      <xdr:rowOff>208275</xdr:rowOff>
    </xdr:from>
    <xdr:to>
      <xdr:col>0</xdr:col>
      <xdr:colOff>1189000</xdr:colOff>
      <xdr:row>13</xdr:row>
      <xdr:rowOff>173561</xdr:rowOff>
    </xdr:to>
    <xdr:sp macro="" textlink="">
      <xdr:nvSpPr>
        <xdr:cNvPr id="14" name="Design_Bt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E297042-FEA7-403B-93D3-893DC9052D50}"/>
            </a:ext>
          </a:extLst>
        </xdr:cNvPr>
        <xdr:cNvSpPr/>
      </xdr:nvSpPr>
      <xdr:spPr>
        <a:xfrm>
          <a:off x="127000" y="2829555"/>
          <a:ext cx="1062000" cy="605366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Comparativo por Regime</a:t>
          </a:r>
        </a:p>
      </xdr:txBody>
    </xdr:sp>
    <xdr:clientData/>
  </xdr:twoCellAnchor>
  <xdr:twoCellAnchor>
    <xdr:from>
      <xdr:col>0</xdr:col>
      <xdr:colOff>127000</xdr:colOff>
      <xdr:row>14</xdr:row>
      <xdr:rowOff>87202</xdr:rowOff>
    </xdr:from>
    <xdr:to>
      <xdr:col>0</xdr:col>
      <xdr:colOff>1189000</xdr:colOff>
      <xdr:row>16</xdr:row>
      <xdr:rowOff>198116</xdr:rowOff>
    </xdr:to>
    <xdr:sp macro="" textlink="">
      <xdr:nvSpPr>
        <xdr:cNvPr id="15" name="Design_Bt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8DC6B96-A94A-4025-8EC7-88701DA0D2AF}"/>
            </a:ext>
          </a:extLst>
        </xdr:cNvPr>
        <xdr:cNvSpPr/>
      </xdr:nvSpPr>
      <xdr:spPr>
        <a:xfrm>
          <a:off x="127000" y="3561922"/>
          <a:ext cx="1062000" cy="537634"/>
        </a:xfrm>
        <a:prstGeom prst="roundRect">
          <a:avLst>
            <a:gd name="adj" fmla="val 10000"/>
          </a:avLst>
        </a:prstGeom>
        <a:solidFill>
          <a:srgbClr val="00D37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Simulador de Céditos</a:t>
          </a:r>
        </a:p>
      </xdr:txBody>
    </xdr:sp>
    <xdr:clientData/>
  </xdr:twoCellAnchor>
  <xdr:twoCellAnchor>
    <xdr:from>
      <xdr:col>0</xdr:col>
      <xdr:colOff>127000</xdr:colOff>
      <xdr:row>17</xdr:row>
      <xdr:rowOff>111756</xdr:rowOff>
    </xdr:from>
    <xdr:to>
      <xdr:col>0</xdr:col>
      <xdr:colOff>1189000</xdr:colOff>
      <xdr:row>20</xdr:row>
      <xdr:rowOff>77043</xdr:rowOff>
    </xdr:to>
    <xdr:sp macro="" textlink="">
      <xdr:nvSpPr>
        <xdr:cNvPr id="16" name="Design_Bt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AED889-D3B5-4CFF-A55A-05CED10DF8DA}"/>
            </a:ext>
          </a:extLst>
        </xdr:cNvPr>
        <xdr:cNvSpPr/>
      </xdr:nvSpPr>
      <xdr:spPr>
        <a:xfrm>
          <a:off x="127000" y="4226556"/>
          <a:ext cx="1062000" cy="605367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 Transição 2026 - 2033</a:t>
          </a:r>
        </a:p>
      </xdr:txBody>
    </xdr:sp>
    <xdr:clientData/>
  </xdr:twoCellAnchor>
  <xdr:twoCellAnchor>
    <xdr:from>
      <xdr:col>0</xdr:col>
      <xdr:colOff>127000</xdr:colOff>
      <xdr:row>20</xdr:row>
      <xdr:rowOff>204043</xdr:rowOff>
    </xdr:from>
    <xdr:to>
      <xdr:col>0</xdr:col>
      <xdr:colOff>1189000</xdr:colOff>
      <xdr:row>23</xdr:row>
      <xdr:rowOff>104983</xdr:rowOff>
    </xdr:to>
    <xdr:sp macro="" textlink="">
      <xdr:nvSpPr>
        <xdr:cNvPr id="17" name="Design_Bt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C254D2C-19F7-4BC8-925D-B84949E56244}"/>
            </a:ext>
          </a:extLst>
        </xdr:cNvPr>
        <xdr:cNvSpPr/>
      </xdr:nvSpPr>
      <xdr:spPr>
        <a:xfrm>
          <a:off x="127000" y="4958923"/>
          <a:ext cx="1062000" cy="541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1281600</xdr:colOff>
      <xdr:row>38</xdr:row>
      <xdr:rowOff>0</xdr:rowOff>
    </xdr:to>
    <xdr:sp macro="" textlink="">
      <xdr:nvSpPr>
        <xdr:cNvPr id="10" name="Design_Sidebar">
          <a:extLst>
            <a:ext uri="{FF2B5EF4-FFF2-40B4-BE49-F238E27FC236}">
              <a16:creationId xmlns:a16="http://schemas.microsoft.com/office/drawing/2014/main" id="{0D58F4E7-56A2-45DD-A994-900B756A1E52}"/>
            </a:ext>
          </a:extLst>
        </xdr:cNvPr>
        <xdr:cNvSpPr/>
      </xdr:nvSpPr>
      <xdr:spPr>
        <a:xfrm>
          <a:off x="0" y="0"/>
          <a:ext cx="1281600" cy="8595360"/>
        </a:xfrm>
        <a:prstGeom prst="rect">
          <a:avLst/>
        </a:prstGeom>
        <a:solidFill>
          <a:srgbClr val="1B1F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127000</xdr:colOff>
      <xdr:row>2</xdr:row>
      <xdr:rowOff>265001</xdr:rowOff>
    </xdr:from>
    <xdr:to>
      <xdr:col>0</xdr:col>
      <xdr:colOff>1189000</xdr:colOff>
      <xdr:row>4</xdr:row>
      <xdr:rowOff>151601</xdr:rowOff>
    </xdr:to>
    <xdr:sp macro="" textlink="">
      <xdr:nvSpPr>
        <xdr:cNvPr id="11" name="Design_Bt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9AC422-45E5-40E2-82A7-A77A5D0CD750}"/>
            </a:ext>
          </a:extLst>
        </xdr:cNvPr>
        <xdr:cNvSpPr/>
      </xdr:nvSpPr>
      <xdr:spPr>
        <a:xfrm>
          <a:off x="127000" y="821261"/>
          <a:ext cx="106200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Instruções</a:t>
          </a:r>
        </a:p>
      </xdr:txBody>
    </xdr:sp>
    <xdr:clientData/>
  </xdr:twoCellAnchor>
  <xdr:twoCellAnchor>
    <xdr:from>
      <xdr:col>0</xdr:col>
      <xdr:colOff>127000</xdr:colOff>
      <xdr:row>4</xdr:row>
      <xdr:rowOff>245529</xdr:rowOff>
    </xdr:from>
    <xdr:to>
      <xdr:col>0</xdr:col>
      <xdr:colOff>1188720</xdr:colOff>
      <xdr:row>7</xdr:row>
      <xdr:rowOff>78789</xdr:rowOff>
    </xdr:to>
    <xdr:sp macro="" textlink="">
      <xdr:nvSpPr>
        <xdr:cNvPr id="12" name="Design_Bt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752625-A07A-427E-A10D-9AD799BFC7A0}"/>
            </a:ext>
          </a:extLst>
        </xdr:cNvPr>
        <xdr:cNvSpPr/>
      </xdr:nvSpPr>
      <xdr:spPr>
        <a:xfrm>
          <a:off x="127000" y="1487589"/>
          <a:ext cx="106172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Configurações</a:t>
          </a:r>
        </a:p>
      </xdr:txBody>
    </xdr:sp>
    <xdr:clientData/>
  </xdr:twoCellAnchor>
  <xdr:twoCellAnchor>
    <xdr:from>
      <xdr:col>0</xdr:col>
      <xdr:colOff>127000</xdr:colOff>
      <xdr:row>7</xdr:row>
      <xdr:rowOff>176102</xdr:rowOff>
    </xdr:from>
    <xdr:to>
      <xdr:col>0</xdr:col>
      <xdr:colOff>1189000</xdr:colOff>
      <xdr:row>10</xdr:row>
      <xdr:rowOff>116042</xdr:rowOff>
    </xdr:to>
    <xdr:sp macro="" textlink="">
      <xdr:nvSpPr>
        <xdr:cNvPr id="13" name="Design_Bt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C539E62-BF1E-4D04-846E-92D4CF55FFC4}"/>
            </a:ext>
          </a:extLst>
        </xdr:cNvPr>
        <xdr:cNvSpPr/>
      </xdr:nvSpPr>
      <xdr:spPr>
        <a:xfrm>
          <a:off x="127000" y="2157302"/>
          <a:ext cx="1062000" cy="580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Calculadora Simples</a:t>
          </a:r>
        </a:p>
      </xdr:txBody>
    </xdr:sp>
    <xdr:clientData/>
  </xdr:twoCellAnchor>
  <xdr:twoCellAnchor>
    <xdr:from>
      <xdr:col>0</xdr:col>
      <xdr:colOff>127000</xdr:colOff>
      <xdr:row>10</xdr:row>
      <xdr:rowOff>208275</xdr:rowOff>
    </xdr:from>
    <xdr:to>
      <xdr:col>0</xdr:col>
      <xdr:colOff>1189000</xdr:colOff>
      <xdr:row>13</xdr:row>
      <xdr:rowOff>173561</xdr:rowOff>
    </xdr:to>
    <xdr:sp macro="" textlink="">
      <xdr:nvSpPr>
        <xdr:cNvPr id="14" name="Design_Bt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9434F4-8522-45CB-BC18-376F80B227F7}"/>
            </a:ext>
          </a:extLst>
        </xdr:cNvPr>
        <xdr:cNvSpPr/>
      </xdr:nvSpPr>
      <xdr:spPr>
        <a:xfrm>
          <a:off x="127000" y="2829555"/>
          <a:ext cx="1062000" cy="605366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Comparativo por Regime</a:t>
          </a:r>
        </a:p>
      </xdr:txBody>
    </xdr:sp>
    <xdr:clientData/>
  </xdr:twoCellAnchor>
  <xdr:twoCellAnchor>
    <xdr:from>
      <xdr:col>0</xdr:col>
      <xdr:colOff>127000</xdr:colOff>
      <xdr:row>14</xdr:row>
      <xdr:rowOff>87202</xdr:rowOff>
    </xdr:from>
    <xdr:to>
      <xdr:col>0</xdr:col>
      <xdr:colOff>1189000</xdr:colOff>
      <xdr:row>16</xdr:row>
      <xdr:rowOff>198116</xdr:rowOff>
    </xdr:to>
    <xdr:sp macro="" textlink="">
      <xdr:nvSpPr>
        <xdr:cNvPr id="15" name="Design_Bt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4E79BF-5317-44F4-97BB-C1174EEFD013}"/>
            </a:ext>
          </a:extLst>
        </xdr:cNvPr>
        <xdr:cNvSpPr/>
      </xdr:nvSpPr>
      <xdr:spPr>
        <a:xfrm>
          <a:off x="127000" y="3561922"/>
          <a:ext cx="1062000" cy="537634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Simulador de Céditos</a:t>
          </a:r>
        </a:p>
      </xdr:txBody>
    </xdr:sp>
    <xdr:clientData/>
  </xdr:twoCellAnchor>
  <xdr:twoCellAnchor>
    <xdr:from>
      <xdr:col>0</xdr:col>
      <xdr:colOff>127000</xdr:colOff>
      <xdr:row>17</xdr:row>
      <xdr:rowOff>111756</xdr:rowOff>
    </xdr:from>
    <xdr:to>
      <xdr:col>0</xdr:col>
      <xdr:colOff>1189000</xdr:colOff>
      <xdr:row>20</xdr:row>
      <xdr:rowOff>77043</xdr:rowOff>
    </xdr:to>
    <xdr:sp macro="" textlink="">
      <xdr:nvSpPr>
        <xdr:cNvPr id="16" name="Design_Bt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CEFB598-D67D-43DB-B076-E6843FC0ABAD}"/>
            </a:ext>
          </a:extLst>
        </xdr:cNvPr>
        <xdr:cNvSpPr/>
      </xdr:nvSpPr>
      <xdr:spPr>
        <a:xfrm>
          <a:off x="127000" y="4226556"/>
          <a:ext cx="1062000" cy="605367"/>
        </a:xfrm>
        <a:prstGeom prst="roundRect">
          <a:avLst>
            <a:gd name="adj" fmla="val 10000"/>
          </a:avLst>
        </a:prstGeom>
        <a:solidFill>
          <a:srgbClr val="00D37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 Transição 2026 - 2033</a:t>
          </a:r>
        </a:p>
      </xdr:txBody>
    </xdr:sp>
    <xdr:clientData/>
  </xdr:twoCellAnchor>
  <xdr:twoCellAnchor>
    <xdr:from>
      <xdr:col>0</xdr:col>
      <xdr:colOff>127000</xdr:colOff>
      <xdr:row>20</xdr:row>
      <xdr:rowOff>204043</xdr:rowOff>
    </xdr:from>
    <xdr:to>
      <xdr:col>0</xdr:col>
      <xdr:colOff>1189000</xdr:colOff>
      <xdr:row>23</xdr:row>
      <xdr:rowOff>104983</xdr:rowOff>
    </xdr:to>
    <xdr:sp macro="" textlink="">
      <xdr:nvSpPr>
        <xdr:cNvPr id="17" name="Design_Bt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CF3E702-89AD-40E9-B174-8EF4D9930195}"/>
            </a:ext>
          </a:extLst>
        </xdr:cNvPr>
        <xdr:cNvSpPr/>
      </xdr:nvSpPr>
      <xdr:spPr>
        <a:xfrm>
          <a:off x="127000" y="4958923"/>
          <a:ext cx="1062000" cy="541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1281600</xdr:colOff>
      <xdr:row>38</xdr:row>
      <xdr:rowOff>0</xdr:rowOff>
    </xdr:to>
    <xdr:sp macro="" textlink="">
      <xdr:nvSpPr>
        <xdr:cNvPr id="10" name="Design_Sidebar">
          <a:extLst>
            <a:ext uri="{FF2B5EF4-FFF2-40B4-BE49-F238E27FC236}">
              <a16:creationId xmlns:a16="http://schemas.microsoft.com/office/drawing/2014/main" id="{D611C1C2-F548-44E5-82D9-A53FC1168A21}"/>
            </a:ext>
          </a:extLst>
        </xdr:cNvPr>
        <xdr:cNvSpPr/>
      </xdr:nvSpPr>
      <xdr:spPr>
        <a:xfrm>
          <a:off x="0" y="0"/>
          <a:ext cx="1281600" cy="8595360"/>
        </a:xfrm>
        <a:prstGeom prst="rect">
          <a:avLst/>
        </a:prstGeom>
        <a:solidFill>
          <a:srgbClr val="1B1F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127000</xdr:colOff>
      <xdr:row>2</xdr:row>
      <xdr:rowOff>265001</xdr:rowOff>
    </xdr:from>
    <xdr:to>
      <xdr:col>0</xdr:col>
      <xdr:colOff>1189000</xdr:colOff>
      <xdr:row>4</xdr:row>
      <xdr:rowOff>151601</xdr:rowOff>
    </xdr:to>
    <xdr:sp macro="" textlink="">
      <xdr:nvSpPr>
        <xdr:cNvPr id="11" name="Design_Bt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08E6FF-44F9-44AA-9158-DBF5413FDF0A}"/>
            </a:ext>
          </a:extLst>
        </xdr:cNvPr>
        <xdr:cNvSpPr/>
      </xdr:nvSpPr>
      <xdr:spPr>
        <a:xfrm>
          <a:off x="127000" y="821261"/>
          <a:ext cx="106200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FFFFFF"/>
              </a:solidFill>
            </a:rPr>
            <a:t>Instruções</a:t>
          </a:r>
        </a:p>
      </xdr:txBody>
    </xdr:sp>
    <xdr:clientData/>
  </xdr:twoCellAnchor>
  <xdr:twoCellAnchor>
    <xdr:from>
      <xdr:col>0</xdr:col>
      <xdr:colOff>127000</xdr:colOff>
      <xdr:row>4</xdr:row>
      <xdr:rowOff>245529</xdr:rowOff>
    </xdr:from>
    <xdr:to>
      <xdr:col>0</xdr:col>
      <xdr:colOff>1188720</xdr:colOff>
      <xdr:row>7</xdr:row>
      <xdr:rowOff>78789</xdr:rowOff>
    </xdr:to>
    <xdr:sp macro="" textlink="">
      <xdr:nvSpPr>
        <xdr:cNvPr id="12" name="Design_Bt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54D37C-2EAA-4FB8-8C59-7C363BF2BBED}"/>
            </a:ext>
          </a:extLst>
        </xdr:cNvPr>
        <xdr:cNvSpPr/>
      </xdr:nvSpPr>
      <xdr:spPr>
        <a:xfrm>
          <a:off x="127000" y="1487589"/>
          <a:ext cx="1061720" cy="57240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Configurações</a:t>
          </a:r>
        </a:p>
      </xdr:txBody>
    </xdr:sp>
    <xdr:clientData/>
  </xdr:twoCellAnchor>
  <xdr:twoCellAnchor>
    <xdr:from>
      <xdr:col>0</xdr:col>
      <xdr:colOff>127000</xdr:colOff>
      <xdr:row>7</xdr:row>
      <xdr:rowOff>176102</xdr:rowOff>
    </xdr:from>
    <xdr:to>
      <xdr:col>0</xdr:col>
      <xdr:colOff>1189000</xdr:colOff>
      <xdr:row>10</xdr:row>
      <xdr:rowOff>116042</xdr:rowOff>
    </xdr:to>
    <xdr:sp macro="" textlink="">
      <xdr:nvSpPr>
        <xdr:cNvPr id="13" name="Design_Bt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E0D203-5A90-4C03-9E93-C59C4B541053}"/>
            </a:ext>
          </a:extLst>
        </xdr:cNvPr>
        <xdr:cNvSpPr/>
      </xdr:nvSpPr>
      <xdr:spPr>
        <a:xfrm>
          <a:off x="127000" y="2157302"/>
          <a:ext cx="1062000" cy="580020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Calculadora Simples</a:t>
          </a:r>
        </a:p>
      </xdr:txBody>
    </xdr:sp>
    <xdr:clientData/>
  </xdr:twoCellAnchor>
  <xdr:twoCellAnchor>
    <xdr:from>
      <xdr:col>0</xdr:col>
      <xdr:colOff>127000</xdr:colOff>
      <xdr:row>10</xdr:row>
      <xdr:rowOff>208275</xdr:rowOff>
    </xdr:from>
    <xdr:to>
      <xdr:col>0</xdr:col>
      <xdr:colOff>1189000</xdr:colOff>
      <xdr:row>13</xdr:row>
      <xdr:rowOff>173561</xdr:rowOff>
    </xdr:to>
    <xdr:sp macro="" textlink="">
      <xdr:nvSpPr>
        <xdr:cNvPr id="14" name="Design_Bt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B060DF-B711-4198-9A96-0B9C6CA325E0}"/>
            </a:ext>
          </a:extLst>
        </xdr:cNvPr>
        <xdr:cNvSpPr/>
      </xdr:nvSpPr>
      <xdr:spPr>
        <a:xfrm>
          <a:off x="127000" y="2829555"/>
          <a:ext cx="1062000" cy="605366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Comparativo por Regime</a:t>
          </a:r>
        </a:p>
      </xdr:txBody>
    </xdr:sp>
    <xdr:clientData/>
  </xdr:twoCellAnchor>
  <xdr:twoCellAnchor>
    <xdr:from>
      <xdr:col>0</xdr:col>
      <xdr:colOff>127000</xdr:colOff>
      <xdr:row>14</xdr:row>
      <xdr:rowOff>87202</xdr:rowOff>
    </xdr:from>
    <xdr:to>
      <xdr:col>0</xdr:col>
      <xdr:colOff>1189000</xdr:colOff>
      <xdr:row>16</xdr:row>
      <xdr:rowOff>198116</xdr:rowOff>
    </xdr:to>
    <xdr:sp macro="" textlink="">
      <xdr:nvSpPr>
        <xdr:cNvPr id="15" name="Design_Bt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65DFD47-6DE7-4039-AF96-7D6695CEFE2C}"/>
            </a:ext>
          </a:extLst>
        </xdr:cNvPr>
        <xdr:cNvSpPr/>
      </xdr:nvSpPr>
      <xdr:spPr>
        <a:xfrm>
          <a:off x="127000" y="3561922"/>
          <a:ext cx="1062000" cy="537634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Simulador de Céditos</a:t>
          </a:r>
        </a:p>
      </xdr:txBody>
    </xdr:sp>
    <xdr:clientData/>
  </xdr:twoCellAnchor>
  <xdr:twoCellAnchor>
    <xdr:from>
      <xdr:col>0</xdr:col>
      <xdr:colOff>127000</xdr:colOff>
      <xdr:row>17</xdr:row>
      <xdr:rowOff>111756</xdr:rowOff>
    </xdr:from>
    <xdr:to>
      <xdr:col>0</xdr:col>
      <xdr:colOff>1189000</xdr:colOff>
      <xdr:row>20</xdr:row>
      <xdr:rowOff>77043</xdr:rowOff>
    </xdr:to>
    <xdr:sp macro="" textlink="">
      <xdr:nvSpPr>
        <xdr:cNvPr id="16" name="Design_Bt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5F40877-8B59-455A-8F1E-4505449BDECC}"/>
            </a:ext>
          </a:extLst>
        </xdr:cNvPr>
        <xdr:cNvSpPr/>
      </xdr:nvSpPr>
      <xdr:spPr>
        <a:xfrm>
          <a:off x="127000" y="4226556"/>
          <a:ext cx="1062000" cy="605367"/>
        </a:xfrm>
        <a:prstGeom prst="roundRect">
          <a:avLst>
            <a:gd name="adj" fmla="val 10000"/>
          </a:avLst>
        </a:prstGeom>
        <a:solidFill>
          <a:srgbClr val="2D3237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 Transição 2026 - 2033</a:t>
          </a:r>
        </a:p>
      </xdr:txBody>
    </xdr:sp>
    <xdr:clientData/>
  </xdr:twoCellAnchor>
  <xdr:twoCellAnchor>
    <xdr:from>
      <xdr:col>0</xdr:col>
      <xdr:colOff>127000</xdr:colOff>
      <xdr:row>20</xdr:row>
      <xdr:rowOff>204043</xdr:rowOff>
    </xdr:from>
    <xdr:to>
      <xdr:col>0</xdr:col>
      <xdr:colOff>1189000</xdr:colOff>
      <xdr:row>23</xdr:row>
      <xdr:rowOff>104983</xdr:rowOff>
    </xdr:to>
    <xdr:sp macro="" textlink="">
      <xdr:nvSpPr>
        <xdr:cNvPr id="17" name="Design_Bt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A9AA30E-5A62-499F-9DB5-14705E847F96}"/>
            </a:ext>
          </a:extLst>
        </xdr:cNvPr>
        <xdr:cNvSpPr/>
      </xdr:nvSpPr>
      <xdr:spPr>
        <a:xfrm>
          <a:off x="127000" y="4958923"/>
          <a:ext cx="1062000" cy="541020"/>
        </a:xfrm>
        <a:prstGeom prst="roundRect">
          <a:avLst>
            <a:gd name="adj" fmla="val 10000"/>
          </a:avLst>
        </a:prstGeom>
        <a:solidFill>
          <a:srgbClr val="00D37F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/>
              </a:solidFill>
            </a:rPr>
            <a:t>Dashboard</a:t>
          </a:r>
        </a:p>
      </xdr:txBody>
    </xdr:sp>
    <xdr:clientData/>
  </xdr:twoCellAnchor>
  <xdr:twoCellAnchor>
    <xdr:from>
      <xdr:col>2</xdr:col>
      <xdr:colOff>1196340</xdr:colOff>
      <xdr:row>9</xdr:row>
      <xdr:rowOff>68580</xdr:rowOff>
    </xdr:from>
    <xdr:to>
      <xdr:col>3</xdr:col>
      <xdr:colOff>874360</xdr:colOff>
      <xdr:row>12</xdr:row>
      <xdr:rowOff>121920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60833CC5-E648-4B34-8747-7B42202E8E33}"/>
            </a:ext>
          </a:extLst>
        </xdr:cNvPr>
        <xdr:cNvGrpSpPr/>
      </xdr:nvGrpSpPr>
      <xdr:grpSpPr>
        <a:xfrm>
          <a:off x="3077528" y="2473643"/>
          <a:ext cx="1321082" cy="696277"/>
          <a:chOff x="3139440" y="2476500"/>
          <a:chExt cx="1369660" cy="693420"/>
        </a:xfrm>
      </xdr:grpSpPr>
      <xdr:sp macro="" textlink="Base_Dados!B11">
        <xdr:nvSpPr>
          <xdr:cNvPr id="28" name="Card_CargaAtual">
            <a:extLst>
              <a:ext uri="{FF2B5EF4-FFF2-40B4-BE49-F238E27FC236}">
                <a16:creationId xmlns:a16="http://schemas.microsoft.com/office/drawing/2014/main" id="{1A905F14-5E06-4ACA-9259-E8096D1F659A}"/>
              </a:ext>
            </a:extLst>
          </xdr:cNvPr>
          <xdr:cNvSpPr/>
        </xdr:nvSpPr>
        <xdr:spPr>
          <a:xfrm>
            <a:off x="3167980" y="2476500"/>
            <a:ext cx="1287780" cy="693420"/>
          </a:xfrm>
          <a:prstGeom prst="roundRect">
            <a:avLst>
              <a:gd name="adj" fmla="val 10000"/>
            </a:avLst>
          </a:prstGeom>
          <a:solidFill>
            <a:srgbClr val="2D3237"/>
          </a:solidFill>
          <a:ln w="6350" cap="flat" cmpd="sng" algn="ctr">
            <a:solidFill>
              <a:srgbClr val="00D37F"/>
            </a:solidFill>
            <a:prstDash val="solid"/>
          </a:ln>
          <a:effectLst>
            <a:glow>
              <a:srgbClr val="00D37F"/>
            </a:glow>
            <a:outerShdw blurRad="50800" dist="38100" dir="2700000" algn="tl" rotWithShape="0">
              <a:srgbClr val="00D37F">
                <a:alpha val="4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914127CE-190A-4EAF-93C4-ED59B54DD2F4}" type="TxLink">
              <a:rPr lang="en-US" sz="1600" b="0" i="0" u="none" strike="noStrike">
                <a:solidFill>
                  <a:schemeClr val="bg1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marL="0" indent="0" algn="ctr"/>
              <a:t>600,00 </a:t>
            </a:fld>
            <a:endParaRPr lang="pt-BR" sz="1600" b="0" i="0" u="none" strike="noStrike">
              <a:solidFill>
                <a:schemeClr val="bg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C17FC6AF-5218-4E3F-A4B5-5336D0CA4260}"/>
              </a:ext>
            </a:extLst>
          </xdr:cNvPr>
          <xdr:cNvSpPr txBox="1"/>
        </xdr:nvSpPr>
        <xdr:spPr>
          <a:xfrm>
            <a:off x="3139440" y="2476500"/>
            <a:ext cx="1369660" cy="2458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900" b="0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Imposto Antigo Efetivo </a:t>
            </a:r>
            <a:endParaRPr lang="pt-BR" sz="900" b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4</xdr:col>
      <xdr:colOff>237467</xdr:colOff>
      <xdr:row>9</xdr:row>
      <xdr:rowOff>68580</xdr:rowOff>
    </xdr:from>
    <xdr:to>
      <xdr:col>4</xdr:col>
      <xdr:colOff>1525247</xdr:colOff>
      <xdr:row>12</xdr:row>
      <xdr:rowOff>121920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5F2844C2-A2D5-4F7B-ADC5-CF6F63C4357D}"/>
            </a:ext>
          </a:extLst>
        </xdr:cNvPr>
        <xdr:cNvGrpSpPr/>
      </xdr:nvGrpSpPr>
      <xdr:grpSpPr>
        <a:xfrm>
          <a:off x="5023780" y="2473643"/>
          <a:ext cx="1287780" cy="696277"/>
          <a:chOff x="7139940" y="2491740"/>
          <a:chExt cx="1287780" cy="693420"/>
        </a:xfrm>
      </xdr:grpSpPr>
      <xdr:sp macro="" textlink="Base_Dados!B12">
        <xdr:nvSpPr>
          <xdr:cNvPr id="31" name="Card_CargaAtual">
            <a:extLst>
              <a:ext uri="{FF2B5EF4-FFF2-40B4-BE49-F238E27FC236}">
                <a16:creationId xmlns:a16="http://schemas.microsoft.com/office/drawing/2014/main" id="{6D552794-E64A-4762-BDAA-15E05CEC6226}"/>
              </a:ext>
            </a:extLst>
          </xdr:cNvPr>
          <xdr:cNvSpPr/>
        </xdr:nvSpPr>
        <xdr:spPr>
          <a:xfrm>
            <a:off x="7139940" y="2491740"/>
            <a:ext cx="1287780" cy="693420"/>
          </a:xfrm>
          <a:prstGeom prst="roundRect">
            <a:avLst>
              <a:gd name="adj" fmla="val 10000"/>
            </a:avLst>
          </a:prstGeom>
          <a:solidFill>
            <a:srgbClr val="2D3237"/>
          </a:solidFill>
          <a:ln w="6350" cap="flat" cmpd="sng" algn="ctr">
            <a:solidFill>
              <a:srgbClr val="00D37F"/>
            </a:solidFill>
            <a:prstDash val="solid"/>
          </a:ln>
          <a:effectLst>
            <a:glow>
              <a:srgbClr val="00D37F"/>
            </a:glow>
            <a:outerShdw blurRad="50800" dist="38100" dir="2700000" algn="tl" rotWithShape="0">
              <a:srgbClr val="00D37F">
                <a:alpha val="4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11634551-CCD1-4FBD-9C30-C1CCBBFE891A}" type="TxLink">
              <a:rPr lang="en-US" sz="1600" b="0" i="0" u="none" strike="noStrike">
                <a:solidFill>
                  <a:schemeClr val="bg1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marL="0" indent="0" algn="ctr"/>
              <a:t>1.060,00 </a:t>
            </a:fld>
            <a:endParaRPr lang="pt-BR" sz="1600" b="0" i="0" u="none" strike="noStrike">
              <a:solidFill>
                <a:schemeClr val="bg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endParaRPr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4BBB1AD-D253-4C10-BE87-0AE3368CE570}"/>
              </a:ext>
            </a:extLst>
          </xdr:cNvPr>
          <xdr:cNvSpPr txBox="1"/>
        </xdr:nvSpPr>
        <xdr:spPr>
          <a:xfrm>
            <a:off x="7139940" y="2491740"/>
            <a:ext cx="1280160" cy="2458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Imposto Novo </a:t>
            </a:r>
            <a:r>
              <a:rPr lang="pt-BR" sz="900" b="0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Efetivo </a:t>
            </a:r>
            <a:endParaRPr lang="pt-BR" sz="900" b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5</xdr:col>
      <xdr:colOff>172074</xdr:colOff>
      <xdr:row>9</xdr:row>
      <xdr:rowOff>68580</xdr:rowOff>
    </xdr:from>
    <xdr:to>
      <xdr:col>6</xdr:col>
      <xdr:colOff>492114</xdr:colOff>
      <xdr:row>12</xdr:row>
      <xdr:rowOff>121920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78810F22-9A16-48E7-BEF3-2D8952C562B2}"/>
            </a:ext>
          </a:extLst>
        </xdr:cNvPr>
        <xdr:cNvGrpSpPr/>
      </xdr:nvGrpSpPr>
      <xdr:grpSpPr>
        <a:xfrm>
          <a:off x="6601449" y="2473643"/>
          <a:ext cx="1534478" cy="696277"/>
          <a:chOff x="6377940" y="2476500"/>
          <a:chExt cx="1295400" cy="693420"/>
        </a:xfrm>
      </xdr:grpSpPr>
      <xdr:sp macro="" textlink="Base_Dados!B13">
        <xdr:nvSpPr>
          <xdr:cNvPr id="33" name="Card_CargaAtual">
            <a:extLst>
              <a:ext uri="{FF2B5EF4-FFF2-40B4-BE49-F238E27FC236}">
                <a16:creationId xmlns:a16="http://schemas.microsoft.com/office/drawing/2014/main" id="{55CB1CCD-1CC8-4046-9899-CB1D9D9FE91E}"/>
              </a:ext>
            </a:extLst>
          </xdr:cNvPr>
          <xdr:cNvSpPr/>
        </xdr:nvSpPr>
        <xdr:spPr>
          <a:xfrm>
            <a:off x="6377940" y="2476500"/>
            <a:ext cx="1287780" cy="693420"/>
          </a:xfrm>
          <a:prstGeom prst="roundRect">
            <a:avLst>
              <a:gd name="adj" fmla="val 10000"/>
            </a:avLst>
          </a:prstGeom>
          <a:solidFill>
            <a:srgbClr val="2D3237"/>
          </a:solidFill>
          <a:ln w="6350" cap="flat" cmpd="sng" algn="ctr">
            <a:solidFill>
              <a:srgbClr val="00D37F"/>
            </a:solidFill>
            <a:prstDash val="solid"/>
          </a:ln>
          <a:effectLst>
            <a:glow>
              <a:srgbClr val="00D37F"/>
            </a:glow>
            <a:outerShdw blurRad="50800" dist="38100" dir="2700000" algn="tl" rotWithShape="0">
              <a:srgbClr val="00D37F">
                <a:alpha val="4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1874CA54-890D-4998-9555-BDC9AB10E951}" type="TxLink">
              <a:rPr lang="en-US" sz="1600" b="0" i="0" u="none" strike="noStrike">
                <a:solidFill>
                  <a:schemeClr val="bg1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marL="0" indent="0" algn="ctr"/>
              <a:t>-460,00 </a:t>
            </a:fld>
            <a:endParaRPr lang="pt-BR" sz="1600" b="0" i="0" u="none" strike="noStrike">
              <a:solidFill>
                <a:schemeClr val="bg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endParaRPr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A5F50482-5F8C-48C5-8F7A-734A5AE43325}"/>
              </a:ext>
            </a:extLst>
          </xdr:cNvPr>
          <xdr:cNvSpPr txBox="1"/>
        </xdr:nvSpPr>
        <xdr:spPr>
          <a:xfrm>
            <a:off x="6393180" y="2476500"/>
            <a:ext cx="1280160" cy="2458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Diferença Mensal</a:t>
            </a:r>
          </a:p>
        </xdr:txBody>
      </xdr:sp>
    </xdr:grpSp>
    <xdr:clientData/>
  </xdr:twoCellAnchor>
  <xdr:twoCellAnchor>
    <xdr:from>
      <xdr:col>5</xdr:col>
      <xdr:colOff>228600</xdr:colOff>
      <xdr:row>14</xdr:row>
      <xdr:rowOff>95250</xdr:rowOff>
    </xdr:from>
    <xdr:to>
      <xdr:col>7</xdr:col>
      <xdr:colOff>952500</xdr:colOff>
      <xdr:row>26</xdr:row>
      <xdr:rowOff>11430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251DB830-2DE7-4EDC-B9C5-FFAE74F43EE5}"/>
            </a:ext>
          </a:extLst>
        </xdr:cNvPr>
        <xdr:cNvGrpSpPr/>
      </xdr:nvGrpSpPr>
      <xdr:grpSpPr>
        <a:xfrm>
          <a:off x="6657975" y="3571875"/>
          <a:ext cx="3571875" cy="2487930"/>
          <a:chOff x="6530340" y="3589020"/>
          <a:chExt cx="3390900" cy="2476500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349D0FB0-A931-4FFA-B831-79CF8FDDEA38}"/>
              </a:ext>
            </a:extLst>
          </xdr:cNvPr>
          <xdr:cNvGrpSpPr/>
        </xdr:nvGrpSpPr>
        <xdr:grpSpPr>
          <a:xfrm>
            <a:off x="6537960" y="3589020"/>
            <a:ext cx="3379020" cy="2476500"/>
            <a:chOff x="2324100" y="3764280"/>
            <a:chExt cx="2339340" cy="2926080"/>
          </a:xfrm>
        </xdr:grpSpPr>
        <xdr:sp macro="" textlink="">
          <xdr:nvSpPr>
            <xdr:cNvPr id="39" name="Card_Graf_Barras">
              <a:extLst>
                <a:ext uri="{FF2B5EF4-FFF2-40B4-BE49-F238E27FC236}">
                  <a16:creationId xmlns:a16="http://schemas.microsoft.com/office/drawing/2014/main" id="{048AEA07-FB43-48A2-B611-895804DEF8D6}"/>
                </a:ext>
              </a:extLst>
            </xdr:cNvPr>
            <xdr:cNvSpPr/>
          </xdr:nvSpPr>
          <xdr:spPr>
            <a:xfrm>
              <a:off x="2324100" y="3764280"/>
              <a:ext cx="2339340" cy="2926080"/>
            </a:xfrm>
            <a:prstGeom prst="roundRect">
              <a:avLst>
                <a:gd name="adj" fmla="val 10000"/>
              </a:avLst>
            </a:prstGeom>
            <a:solidFill>
              <a:srgbClr val="2D3237"/>
            </a:solidFill>
            <a:ln w="6350" cap="flat" cmpd="sng" algn="ctr">
              <a:solidFill>
                <a:srgbClr val="00D37F"/>
              </a:solidFill>
              <a:prstDash val="solid"/>
            </a:ln>
            <a:effectLst>
              <a:glow>
                <a:srgbClr val="00D37F"/>
              </a:glow>
              <a:outerShdw blurRad="50800" dist="38100" dir="2700000" algn="tl" rotWithShape="0">
                <a:srgbClr val="00D37F">
                  <a:alpha val="4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600" b="0" i="0" u="none" strike="noStrike">
                <a:solidFill>
                  <a:schemeClr val="bg1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endParaRPr>
            </a:p>
          </xdr:txBody>
        </xdr:sp>
        <xdr:graphicFrame macro="">
          <xdr:nvGraphicFramePr>
            <xdr:cNvPr id="40" name="Gráfico 39">
              <a:extLst>
                <a:ext uri="{FF2B5EF4-FFF2-40B4-BE49-F238E27FC236}">
                  <a16:creationId xmlns:a16="http://schemas.microsoft.com/office/drawing/2014/main" id="{E41DFF1E-AC85-424F-8894-018E3D6DC32D}"/>
                </a:ext>
              </a:extLst>
            </xdr:cNvPr>
            <xdr:cNvGraphicFramePr/>
          </xdr:nvGraphicFramePr>
          <xdr:xfrm>
            <a:off x="2387600" y="4145280"/>
            <a:ext cx="2161540" cy="248158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</xdr:grp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DC0869F4-DF41-47C9-B12D-E8C2C7F281B6}"/>
              </a:ext>
            </a:extLst>
          </xdr:cNvPr>
          <xdr:cNvSpPr txBox="1"/>
        </xdr:nvSpPr>
        <xdr:spPr>
          <a:xfrm>
            <a:off x="6530340" y="3703320"/>
            <a:ext cx="3390900" cy="2458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0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Crédito Antigo Vs Novo ( % ) </a:t>
            </a:r>
          </a:p>
        </xdr:txBody>
      </xdr:sp>
    </xdr:grpSp>
    <xdr:clientData/>
  </xdr:twoCellAnchor>
  <xdr:twoCellAnchor>
    <xdr:from>
      <xdr:col>6</xdr:col>
      <xdr:colOff>830580</xdr:colOff>
      <xdr:row>9</xdr:row>
      <xdr:rowOff>68580</xdr:rowOff>
    </xdr:from>
    <xdr:to>
      <xdr:col>7</xdr:col>
      <xdr:colOff>434340</xdr:colOff>
      <xdr:row>12</xdr:row>
      <xdr:rowOff>121920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19FD35A8-9857-4899-906B-E3EB5BBD7B34}"/>
            </a:ext>
          </a:extLst>
        </xdr:cNvPr>
        <xdr:cNvGrpSpPr/>
      </xdr:nvGrpSpPr>
      <xdr:grpSpPr>
        <a:xfrm>
          <a:off x="8474393" y="2473643"/>
          <a:ext cx="1246822" cy="696277"/>
          <a:chOff x="8107680" y="2476500"/>
          <a:chExt cx="1295400" cy="693420"/>
        </a:xfrm>
      </xdr:grpSpPr>
      <xdr:sp macro="" textlink="Base_Dados!J7">
        <xdr:nvSpPr>
          <xdr:cNvPr id="46" name="Card_CargaAtual">
            <a:extLst>
              <a:ext uri="{FF2B5EF4-FFF2-40B4-BE49-F238E27FC236}">
                <a16:creationId xmlns:a16="http://schemas.microsoft.com/office/drawing/2014/main" id="{DE9BEA8C-AEB9-4D85-9D0F-AD6CC893277B}"/>
              </a:ext>
            </a:extLst>
          </xdr:cNvPr>
          <xdr:cNvSpPr/>
        </xdr:nvSpPr>
        <xdr:spPr>
          <a:xfrm>
            <a:off x="8107680" y="2476500"/>
            <a:ext cx="1287780" cy="693420"/>
          </a:xfrm>
          <a:prstGeom prst="roundRect">
            <a:avLst>
              <a:gd name="adj" fmla="val 10000"/>
            </a:avLst>
          </a:prstGeom>
          <a:solidFill>
            <a:srgbClr val="2D3237"/>
          </a:solidFill>
          <a:ln w="6350" cap="flat" cmpd="sng" algn="ctr">
            <a:solidFill>
              <a:srgbClr val="00D37F"/>
            </a:solidFill>
            <a:prstDash val="solid"/>
          </a:ln>
          <a:effectLst>
            <a:glow>
              <a:srgbClr val="00D37F"/>
            </a:glow>
            <a:outerShdw blurRad="50800" dist="38100" dir="2700000" algn="tl" rotWithShape="0">
              <a:srgbClr val="00D37F">
                <a:alpha val="4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3727673F-57D4-41DF-96D4-C7EB4B0B35F1}" type="TxLink">
              <a:rPr lang="en-US" sz="1600" b="0" i="0" u="none" strike="noStrike">
                <a:solidFill>
                  <a:schemeClr val="bg1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marL="0" indent="0" algn="ctr"/>
              <a:t> 134.610,00 </a:t>
            </a:fld>
            <a:endParaRPr lang="pt-BR" sz="1600" b="0" i="0" u="none" strike="noStrike">
              <a:solidFill>
                <a:schemeClr val="bg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</a:endParaRPr>
          </a:p>
        </xdr:txBody>
      </xdr:sp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B5B77FEA-5F48-432B-B03D-9E07D40C8BAF}"/>
              </a:ext>
            </a:extLst>
          </xdr:cNvPr>
          <xdr:cNvSpPr txBox="1"/>
        </xdr:nvSpPr>
        <xdr:spPr>
          <a:xfrm>
            <a:off x="8122920" y="2476500"/>
            <a:ext cx="1280160" cy="2458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Diferença Anual</a:t>
            </a:r>
          </a:p>
        </xdr:txBody>
      </xdr:sp>
    </xdr:grpSp>
    <xdr:clientData/>
  </xdr:twoCellAnchor>
  <xdr:twoCellAnchor>
    <xdr:from>
      <xdr:col>2</xdr:col>
      <xdr:colOff>617220</xdr:colOff>
      <xdr:row>14</xdr:row>
      <xdr:rowOff>95100</xdr:rowOff>
    </xdr:from>
    <xdr:to>
      <xdr:col>4</xdr:col>
      <xdr:colOff>1329240</xdr:colOff>
      <xdr:row>26</xdr:row>
      <xdr:rowOff>11580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6B553246-7B24-4FCF-B56E-948011FAD01A}"/>
            </a:ext>
          </a:extLst>
        </xdr:cNvPr>
        <xdr:cNvGrpSpPr/>
      </xdr:nvGrpSpPr>
      <xdr:grpSpPr>
        <a:xfrm>
          <a:off x="2498408" y="3571725"/>
          <a:ext cx="3617145" cy="2488230"/>
          <a:chOff x="2354580" y="3550920"/>
          <a:chExt cx="3379020" cy="2476800"/>
        </a:xfrm>
      </xdr:grpSpPr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F15A26F8-84E3-4CA5-AD03-7A50203556F1}"/>
              </a:ext>
            </a:extLst>
          </xdr:cNvPr>
          <xdr:cNvGrpSpPr/>
        </xdr:nvGrpSpPr>
        <xdr:grpSpPr>
          <a:xfrm>
            <a:off x="2354580" y="3550920"/>
            <a:ext cx="3379020" cy="2476800"/>
            <a:chOff x="2324100" y="3764280"/>
            <a:chExt cx="2339340" cy="2926080"/>
          </a:xfrm>
        </xdr:grpSpPr>
        <xdr:sp macro="" textlink="">
          <xdr:nvSpPr>
            <xdr:cNvPr id="22" name="Card_Graf_Barras">
              <a:extLst>
                <a:ext uri="{FF2B5EF4-FFF2-40B4-BE49-F238E27FC236}">
                  <a16:creationId xmlns:a16="http://schemas.microsoft.com/office/drawing/2014/main" id="{BEE609C5-247D-483F-BAC0-98FB7371546E}"/>
                </a:ext>
              </a:extLst>
            </xdr:cNvPr>
            <xdr:cNvSpPr/>
          </xdr:nvSpPr>
          <xdr:spPr>
            <a:xfrm>
              <a:off x="2324100" y="3764280"/>
              <a:ext cx="2339340" cy="2926080"/>
            </a:xfrm>
            <a:prstGeom prst="roundRect">
              <a:avLst>
                <a:gd name="adj" fmla="val 10000"/>
              </a:avLst>
            </a:prstGeom>
            <a:solidFill>
              <a:srgbClr val="2D3237"/>
            </a:solidFill>
            <a:ln w="6350" cap="flat" cmpd="sng" algn="ctr">
              <a:solidFill>
                <a:srgbClr val="00D37F"/>
              </a:solidFill>
              <a:prstDash val="solid"/>
            </a:ln>
            <a:effectLst>
              <a:glow>
                <a:srgbClr val="00D37F"/>
              </a:glow>
              <a:outerShdw blurRad="50800" dist="38100" dir="2700000" algn="tl" rotWithShape="0">
                <a:srgbClr val="00D37F">
                  <a:alpha val="4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pt-BR" sz="1600" b="0" i="0" u="none" strike="noStrike">
                <a:solidFill>
                  <a:schemeClr val="bg1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endParaRPr>
            </a:p>
          </xdr:txBody>
        </xdr:sp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F82B1B97-91A6-4742-AC81-90CD993BB3EE}"/>
                </a:ext>
              </a:extLst>
            </xdr:cNvPr>
            <xdr:cNvGraphicFramePr/>
          </xdr:nvGraphicFramePr>
          <xdr:xfrm>
            <a:off x="2387600" y="4366154"/>
            <a:ext cx="2161540" cy="206502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</xdr:grp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27BB442E-690F-40CA-8C4A-C9ABA41BBD60}"/>
              </a:ext>
            </a:extLst>
          </xdr:cNvPr>
          <xdr:cNvSpPr txBox="1"/>
        </xdr:nvSpPr>
        <xdr:spPr>
          <a:xfrm>
            <a:off x="2354580" y="3649980"/>
            <a:ext cx="3368040" cy="2458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0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Alíquota</a:t>
            </a:r>
            <a:r>
              <a:rPr lang="pt-BR" sz="1000" b="0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Efetiva</a:t>
            </a:r>
            <a:r>
              <a:rPr lang="pt-BR" sz="10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Antiga Vs Nova ( % ) 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a 6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505050"/>
      </a:accent1>
      <a:accent2>
        <a:srgbClr val="00D37F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J39"/>
  <sheetViews>
    <sheetView showGridLines="0" showRowColHeaders="0" zoomScale="130" zoomScaleNormal="130" workbookViewId="0">
      <selection activeCell="E5" sqref="E5"/>
    </sheetView>
  </sheetViews>
  <sheetFormatPr defaultColWidth="8.85546875" defaultRowHeight="16.5" x14ac:dyDescent="0.3"/>
  <cols>
    <col min="1" max="1" width="22.85546875" style="1" customWidth="1"/>
    <col min="2" max="2" width="5.42578125" style="1" customWidth="1"/>
    <col min="3" max="3" width="50" style="1" customWidth="1"/>
    <col min="4" max="7" width="6" style="1" customWidth="1"/>
    <col min="8" max="8" width="8.85546875" style="1"/>
    <col min="9" max="9" width="5.42578125" style="1" customWidth="1"/>
    <col min="10" max="10" width="3.85546875" style="1" customWidth="1"/>
    <col min="11" max="16384" width="8.85546875" style="1"/>
  </cols>
  <sheetData>
    <row r="2" spans="1:10" ht="26.25" x14ac:dyDescent="0.45">
      <c r="A2" s="8"/>
      <c r="B2" s="8"/>
      <c r="C2" s="79" t="s">
        <v>132</v>
      </c>
      <c r="D2" s="80"/>
      <c r="E2" s="80"/>
      <c r="F2" s="80"/>
      <c r="G2" s="80"/>
      <c r="H2" s="8"/>
      <c r="I2" s="8"/>
      <c r="J2" s="8"/>
    </row>
    <row r="3" spans="1:10" ht="16.7" customHeight="1" x14ac:dyDescent="0.3">
      <c r="A3" s="8"/>
      <c r="C3" s="81"/>
      <c r="D3" s="81"/>
      <c r="E3" s="81"/>
      <c r="F3" s="81"/>
      <c r="G3" s="81"/>
      <c r="H3" s="81"/>
      <c r="J3" s="8"/>
    </row>
    <row r="4" spans="1:10" ht="16.7" customHeight="1" x14ac:dyDescent="0.3">
      <c r="A4" s="8"/>
      <c r="C4" s="81"/>
      <c r="D4" s="81"/>
      <c r="E4" s="81"/>
      <c r="F4" s="81"/>
      <c r="G4" s="81"/>
      <c r="H4" s="81"/>
      <c r="J4" s="8"/>
    </row>
    <row r="5" spans="1:10" x14ac:dyDescent="0.3">
      <c r="A5" s="8"/>
      <c r="C5" s="2"/>
      <c r="D5" s="2"/>
      <c r="E5" s="2"/>
      <c r="F5" s="2"/>
      <c r="G5" s="2"/>
      <c r="H5" s="2"/>
      <c r="J5" s="8"/>
    </row>
    <row r="6" spans="1:10" x14ac:dyDescent="0.3">
      <c r="A6" s="8"/>
      <c r="C6" s="2" t="s">
        <v>54</v>
      </c>
      <c r="D6" s="2"/>
      <c r="E6" s="2"/>
      <c r="F6" s="2"/>
      <c r="G6" s="2"/>
      <c r="H6" s="2"/>
      <c r="J6" s="8"/>
    </row>
    <row r="7" spans="1:10" x14ac:dyDescent="0.3">
      <c r="A7" s="8"/>
      <c r="C7" s="62" t="s">
        <v>55</v>
      </c>
      <c r="D7" s="2"/>
      <c r="E7" s="2"/>
      <c r="F7" s="2"/>
      <c r="G7" s="2"/>
      <c r="H7" s="2"/>
      <c r="J7" s="8"/>
    </row>
    <row r="8" spans="1:10" x14ac:dyDescent="0.3">
      <c r="A8" s="8"/>
      <c r="C8" s="62" t="s">
        <v>56</v>
      </c>
      <c r="D8" s="2"/>
      <c r="E8" s="2"/>
      <c r="F8" s="2"/>
      <c r="G8" s="2"/>
      <c r="H8" s="2"/>
      <c r="J8" s="8"/>
    </row>
    <row r="9" spans="1:10" x14ac:dyDescent="0.3">
      <c r="A9" s="8"/>
      <c r="C9" s="62" t="s">
        <v>57</v>
      </c>
      <c r="D9" s="2"/>
      <c r="E9" s="2"/>
      <c r="F9" s="2"/>
      <c r="G9" s="2"/>
      <c r="H9" s="2"/>
      <c r="J9" s="8"/>
    </row>
    <row r="10" spans="1:10" x14ac:dyDescent="0.3">
      <c r="A10" s="8"/>
      <c r="C10" s="62" t="s">
        <v>58</v>
      </c>
      <c r="D10" s="2"/>
      <c r="E10" s="2"/>
      <c r="F10" s="2"/>
      <c r="G10" s="2"/>
      <c r="H10" s="2"/>
      <c r="J10" s="8"/>
    </row>
    <row r="11" spans="1:10" ht="49.5" x14ac:dyDescent="0.3">
      <c r="A11" s="8"/>
      <c r="C11" s="75" t="s">
        <v>129</v>
      </c>
      <c r="D11" s="2"/>
      <c r="E11" s="2"/>
      <c r="F11" s="2"/>
      <c r="G11" s="2"/>
      <c r="H11" s="2"/>
      <c r="J11" s="8"/>
    </row>
    <row r="12" spans="1:10" x14ac:dyDescent="0.3">
      <c r="A12" s="8"/>
      <c r="C12" s="2"/>
      <c r="D12" s="2"/>
      <c r="E12" s="2"/>
      <c r="F12" s="2"/>
      <c r="G12" s="2"/>
      <c r="H12" s="2"/>
      <c r="J12" s="8"/>
    </row>
    <row r="13" spans="1:10" x14ac:dyDescent="0.3">
      <c r="A13" s="8"/>
      <c r="C13" s="62" t="s">
        <v>59</v>
      </c>
      <c r="D13" s="2"/>
      <c r="E13" s="2"/>
      <c r="F13" s="2"/>
      <c r="G13" s="2"/>
      <c r="H13" s="2"/>
      <c r="J13" s="8"/>
    </row>
    <row r="14" spans="1:10" x14ac:dyDescent="0.3">
      <c r="A14" s="8"/>
      <c r="C14" s="2" t="s">
        <v>60</v>
      </c>
      <c r="D14" s="2"/>
      <c r="E14" s="2"/>
      <c r="F14" s="2"/>
      <c r="G14" s="2"/>
      <c r="H14" s="2"/>
      <c r="J14" s="8"/>
    </row>
    <row r="15" spans="1:10" x14ac:dyDescent="0.3">
      <c r="A15" s="8"/>
      <c r="C15" s="2" t="s">
        <v>61</v>
      </c>
      <c r="D15" s="2"/>
      <c r="E15" s="2"/>
      <c r="F15" s="2"/>
      <c r="G15" s="2"/>
      <c r="H15" s="2"/>
      <c r="J15" s="8"/>
    </row>
    <row r="16" spans="1:10" x14ac:dyDescent="0.3">
      <c r="A16" s="8"/>
      <c r="C16" s="2" t="s">
        <v>62</v>
      </c>
      <c r="D16" s="2"/>
      <c r="E16" s="2"/>
      <c r="F16" s="2"/>
      <c r="G16" s="2"/>
      <c r="H16" s="2"/>
      <c r="J16" s="8"/>
    </row>
    <row r="17" spans="1:10" x14ac:dyDescent="0.3">
      <c r="A17" s="8"/>
      <c r="C17" s="2" t="s">
        <v>63</v>
      </c>
      <c r="D17" s="2"/>
      <c r="E17" s="2"/>
      <c r="F17" s="2"/>
      <c r="G17" s="2"/>
      <c r="H17" s="2"/>
      <c r="J17" s="8"/>
    </row>
    <row r="18" spans="1:10" x14ac:dyDescent="0.3">
      <c r="A18" s="8"/>
      <c r="C18" s="2" t="s">
        <v>64</v>
      </c>
      <c r="D18" s="2"/>
      <c r="E18" s="2"/>
      <c r="F18" s="2"/>
      <c r="G18" s="2"/>
      <c r="H18" s="2"/>
      <c r="J18" s="8"/>
    </row>
    <row r="19" spans="1:10" x14ac:dyDescent="0.3">
      <c r="A19" s="8"/>
      <c r="C19" s="2" t="s">
        <v>65</v>
      </c>
      <c r="D19" s="2"/>
      <c r="E19" s="2"/>
      <c r="F19" s="2"/>
      <c r="G19" s="2"/>
      <c r="H19" s="2"/>
      <c r="J19" s="8"/>
    </row>
    <row r="20" spans="1:10" x14ac:dyDescent="0.3">
      <c r="A20" s="8"/>
      <c r="C20" s="2" t="s">
        <v>66</v>
      </c>
      <c r="D20" s="2"/>
      <c r="E20" s="2"/>
      <c r="F20" s="2"/>
      <c r="G20" s="2"/>
      <c r="H20" s="2"/>
      <c r="J20" s="8"/>
    </row>
    <row r="21" spans="1:10" x14ac:dyDescent="0.3">
      <c r="A21" s="8"/>
      <c r="C21" s="2"/>
      <c r="D21" s="2"/>
      <c r="E21" s="2"/>
      <c r="F21" s="2"/>
      <c r="G21" s="2"/>
      <c r="H21" s="2"/>
      <c r="J21" s="8"/>
    </row>
    <row r="22" spans="1:10" x14ac:dyDescent="0.3">
      <c r="A22" s="8"/>
      <c r="C22" s="62" t="s">
        <v>67</v>
      </c>
      <c r="D22" s="2"/>
      <c r="E22" s="2"/>
      <c r="F22" s="2"/>
      <c r="G22" s="2"/>
      <c r="H22" s="2"/>
      <c r="J22" s="8"/>
    </row>
    <row r="23" spans="1:10" x14ac:dyDescent="0.3">
      <c r="A23" s="8"/>
      <c r="C23" s="2"/>
      <c r="D23" s="2"/>
      <c r="E23" s="2"/>
      <c r="F23" s="2"/>
      <c r="G23" s="2"/>
      <c r="H23" s="2"/>
      <c r="J23" s="8"/>
    </row>
    <row r="24" spans="1:10" x14ac:dyDescent="0.3">
      <c r="A24" s="8"/>
      <c r="C24" s="82" t="s">
        <v>130</v>
      </c>
      <c r="D24" s="82"/>
      <c r="E24" s="82"/>
      <c r="F24" s="82"/>
      <c r="G24" s="82"/>
      <c r="H24" s="82"/>
      <c r="J24" s="8"/>
    </row>
    <row r="25" spans="1:10" x14ac:dyDescent="0.3">
      <c r="A25" s="8"/>
      <c r="C25" s="82"/>
      <c r="D25" s="82"/>
      <c r="E25" s="82"/>
      <c r="F25" s="82"/>
      <c r="G25" s="82"/>
      <c r="H25" s="82"/>
      <c r="J25" s="8"/>
    </row>
    <row r="26" spans="1:10" ht="17.100000000000001" customHeight="1" x14ac:dyDescent="0.3">
      <c r="A26" s="8"/>
      <c r="C26" s="82"/>
      <c r="D26" s="82"/>
      <c r="E26" s="82"/>
      <c r="F26" s="82"/>
      <c r="G26" s="82"/>
      <c r="H26" s="82"/>
      <c r="J26" s="8"/>
    </row>
    <row r="27" spans="1:10" x14ac:dyDescent="0.3">
      <c r="A27" s="8"/>
      <c r="C27" s="82"/>
      <c r="D27" s="82"/>
      <c r="E27" s="82"/>
      <c r="F27" s="82"/>
      <c r="G27" s="82"/>
      <c r="H27" s="82"/>
      <c r="J27" s="8"/>
    </row>
    <row r="28" spans="1:10" x14ac:dyDescent="0.3">
      <c r="A28" s="8"/>
      <c r="C28" s="26"/>
      <c r="D28" s="25"/>
      <c r="E28" s="24"/>
      <c r="F28" s="24"/>
      <c r="G28" s="24"/>
      <c r="H28" s="24"/>
      <c r="J28" s="8"/>
    </row>
    <row r="29" spans="1:10" x14ac:dyDescent="0.3">
      <c r="A29" s="8"/>
      <c r="C29" s="26"/>
      <c r="D29" s="25"/>
      <c r="E29" s="24"/>
      <c r="F29" s="24"/>
      <c r="G29" s="24"/>
      <c r="H29" s="24"/>
      <c r="J29" s="8"/>
    </row>
    <row r="30" spans="1:10" x14ac:dyDescent="0.3">
      <c r="A30" s="8"/>
      <c r="C30" s="26"/>
      <c r="D30" s="25"/>
      <c r="E30" s="24"/>
      <c r="F30" s="24"/>
      <c r="G30" s="24"/>
      <c r="H30" s="24"/>
      <c r="J30" s="8"/>
    </row>
    <row r="31" spans="1:10" x14ac:dyDescent="0.3">
      <c r="A31" s="8"/>
      <c r="C31" s="26"/>
      <c r="D31" s="25"/>
      <c r="E31" s="24"/>
      <c r="F31" s="24"/>
      <c r="G31" s="24"/>
      <c r="H31" s="24"/>
      <c r="J31" s="8"/>
    </row>
    <row r="32" spans="1:10" x14ac:dyDescent="0.3">
      <c r="A32" s="8"/>
      <c r="C32" s="26"/>
      <c r="D32" s="25"/>
      <c r="E32" s="24"/>
      <c r="F32" s="24"/>
      <c r="G32" s="24"/>
      <c r="H32" s="24"/>
      <c r="J32" s="8"/>
    </row>
    <row r="33" spans="1:10" x14ac:dyDescent="0.3">
      <c r="A33" s="8"/>
      <c r="C33" s="26"/>
      <c r="D33" s="25"/>
      <c r="E33" s="24"/>
      <c r="F33" s="24"/>
      <c r="G33" s="24"/>
      <c r="H33" s="24"/>
      <c r="J33" s="8"/>
    </row>
    <row r="34" spans="1:10" x14ac:dyDescent="0.3">
      <c r="A34" s="8"/>
      <c r="C34" s="26"/>
      <c r="D34" s="25"/>
      <c r="E34" s="24"/>
      <c r="F34" s="24"/>
      <c r="G34" s="24"/>
      <c r="H34" s="24"/>
      <c r="J34" s="8"/>
    </row>
    <row r="35" spans="1:10" x14ac:dyDescent="0.3">
      <c r="A35" s="8"/>
      <c r="C35" s="26"/>
      <c r="D35" s="25"/>
      <c r="E35" s="24"/>
      <c r="F35" s="24"/>
      <c r="G35" s="24"/>
      <c r="H35" s="24"/>
      <c r="J35" s="8"/>
    </row>
    <row r="36" spans="1:10" x14ac:dyDescent="0.3">
      <c r="A36" s="8"/>
      <c r="C36" s="27"/>
      <c r="D36" s="24"/>
      <c r="E36" s="24"/>
      <c r="F36" s="24"/>
      <c r="G36" s="24"/>
      <c r="H36" s="24"/>
      <c r="J36" s="8"/>
    </row>
    <row r="37" spans="1:10" x14ac:dyDescent="0.3">
      <c r="A37" s="8"/>
      <c r="C37" s="24"/>
      <c r="D37" s="24"/>
      <c r="E37" s="24"/>
      <c r="F37" s="24"/>
      <c r="G37" s="24"/>
      <c r="H37" s="24"/>
      <c r="J37" s="8"/>
    </row>
    <row r="38" spans="1:10" x14ac:dyDescent="0.3">
      <c r="A38" s="8"/>
      <c r="J38" s="8"/>
    </row>
    <row r="39" spans="1:10" x14ac:dyDescent="0.3">
      <c r="A39" s="8"/>
      <c r="B39" s="8"/>
      <c r="C39" s="8"/>
      <c r="D39" s="8"/>
      <c r="E39" s="8"/>
      <c r="F39" s="8"/>
      <c r="G39" s="8"/>
      <c r="H39" s="8"/>
      <c r="I39" s="8"/>
      <c r="J39" s="8"/>
    </row>
  </sheetData>
  <mergeCells count="3">
    <mergeCell ref="C2:G2"/>
    <mergeCell ref="C3:H4"/>
    <mergeCell ref="C24:H27"/>
  </mergeCells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L39"/>
  <sheetViews>
    <sheetView showGridLines="0" showRowColHeaders="0" tabSelected="1" topLeftCell="A4" zoomScale="120" zoomScaleNormal="120" workbookViewId="0">
      <selection activeCell="E15" sqref="E15"/>
    </sheetView>
  </sheetViews>
  <sheetFormatPr defaultColWidth="8.85546875" defaultRowHeight="16.5" x14ac:dyDescent="0.3"/>
  <cols>
    <col min="1" max="1" width="22.85546875" style="1" customWidth="1"/>
    <col min="2" max="3" width="5.42578125" style="1" customWidth="1"/>
    <col min="4" max="4" width="47" style="1" customWidth="1"/>
    <col min="5" max="5" width="14" style="1" customWidth="1"/>
    <col min="6" max="6" width="7.140625" style="1" customWidth="1"/>
    <col min="7" max="7" width="8.85546875" style="1"/>
    <col min="8" max="8" width="3.85546875" style="1" customWidth="1"/>
    <col min="9" max="10" width="8.85546875" style="1"/>
    <col min="11" max="11" width="11.140625" style="1" customWidth="1"/>
    <col min="12" max="16384" width="8.85546875" style="1"/>
  </cols>
  <sheetData>
    <row r="2" spans="1:8" ht="27" customHeight="1" x14ac:dyDescent="0.45">
      <c r="A2" s="8"/>
      <c r="B2" s="83" t="s">
        <v>131</v>
      </c>
      <c r="C2" s="83"/>
      <c r="D2" s="83"/>
      <c r="E2" s="83"/>
      <c r="F2" s="83"/>
      <c r="G2" s="83"/>
      <c r="H2" s="8"/>
    </row>
    <row r="3" spans="1:8" x14ac:dyDescent="0.3">
      <c r="A3" s="8"/>
      <c r="H3" s="8"/>
    </row>
    <row r="4" spans="1:8" ht="24.6" customHeight="1" x14ac:dyDescent="0.5">
      <c r="A4" s="8"/>
      <c r="D4" s="84" t="s">
        <v>0</v>
      </c>
      <c r="E4" s="84"/>
      <c r="H4" s="8"/>
    </row>
    <row r="5" spans="1:8" ht="25.5" x14ac:dyDescent="0.5">
      <c r="A5" s="8"/>
      <c r="D5" s="12"/>
      <c r="E5" s="12"/>
      <c r="H5" s="8"/>
    </row>
    <row r="6" spans="1:8" x14ac:dyDescent="0.3">
      <c r="A6" s="8"/>
      <c r="C6" s="2"/>
      <c r="D6" s="2"/>
      <c r="E6" s="2"/>
      <c r="F6" s="2"/>
      <c r="H6" s="8"/>
    </row>
    <row r="7" spans="1:8" ht="17.25" x14ac:dyDescent="0.3">
      <c r="A7" s="8"/>
      <c r="C7" s="2"/>
      <c r="D7" s="50" t="s">
        <v>1</v>
      </c>
      <c r="E7" s="2"/>
      <c r="F7" s="2"/>
      <c r="H7" s="8"/>
    </row>
    <row r="8" spans="1:8" x14ac:dyDescent="0.3">
      <c r="A8" s="8"/>
      <c r="C8" s="2"/>
      <c r="D8" s="2"/>
      <c r="E8" s="45" t="s">
        <v>92</v>
      </c>
      <c r="F8" s="2"/>
      <c r="H8" s="8"/>
    </row>
    <row r="9" spans="1:8" x14ac:dyDescent="0.3">
      <c r="A9" s="8"/>
      <c r="C9" s="2"/>
      <c r="D9" s="2" t="s">
        <v>102</v>
      </c>
      <c r="E9" s="38">
        <v>8.8000000000000007</v>
      </c>
      <c r="F9" s="9"/>
      <c r="H9" s="8"/>
    </row>
    <row r="10" spans="1:8" ht="17.25" thickBot="1" x14ac:dyDescent="0.35">
      <c r="A10" s="8"/>
      <c r="C10" s="2"/>
      <c r="D10" s="2" t="s">
        <v>103</v>
      </c>
      <c r="E10" s="38">
        <v>17.7</v>
      </c>
      <c r="F10" s="9"/>
      <c r="H10" s="8"/>
    </row>
    <row r="11" spans="1:8" x14ac:dyDescent="0.3">
      <c r="A11" s="8"/>
      <c r="C11" s="2"/>
      <c r="D11" s="2" t="s">
        <v>104</v>
      </c>
      <c r="E11" s="74">
        <f>E9+E10</f>
        <v>26.5</v>
      </c>
      <c r="F11" s="10"/>
      <c r="H11" s="8"/>
    </row>
    <row r="12" spans="1:8" x14ac:dyDescent="0.3">
      <c r="A12" s="8"/>
      <c r="C12" s="2"/>
      <c r="D12" s="2"/>
      <c r="E12" s="2"/>
      <c r="F12" s="2"/>
      <c r="H12" s="8"/>
    </row>
    <row r="13" spans="1:8" ht="17.25" x14ac:dyDescent="0.3">
      <c r="A13" s="8"/>
      <c r="C13" s="2"/>
      <c r="D13" s="50" t="s">
        <v>2</v>
      </c>
      <c r="E13" s="2"/>
      <c r="F13" s="2"/>
      <c r="H13" s="8"/>
    </row>
    <row r="14" spans="1:8" x14ac:dyDescent="0.3">
      <c r="A14" s="8"/>
      <c r="C14" s="2"/>
      <c r="D14" s="2"/>
      <c r="E14" s="2"/>
      <c r="F14" s="2"/>
      <c r="H14" s="8"/>
    </row>
    <row r="15" spans="1:8" x14ac:dyDescent="0.3">
      <c r="A15" s="8"/>
      <c r="C15" s="2"/>
      <c r="D15" s="2" t="s">
        <v>3</v>
      </c>
      <c r="E15" s="10">
        <f>(E9+E10)*0.4</f>
        <v>10.600000000000001</v>
      </c>
      <c r="F15" s="10"/>
      <c r="H15" s="8"/>
    </row>
    <row r="16" spans="1:8" x14ac:dyDescent="0.3">
      <c r="A16" s="8"/>
      <c r="C16" s="2"/>
      <c r="D16" s="2" t="s">
        <v>4</v>
      </c>
      <c r="E16" s="10">
        <f>(E9+E10)*0.7</f>
        <v>18.549999999999997</v>
      </c>
      <c r="F16" s="10"/>
      <c r="H16" s="8"/>
    </row>
    <row r="17" spans="1:12" x14ac:dyDescent="0.3">
      <c r="A17" s="8"/>
      <c r="C17" s="2"/>
      <c r="D17" s="2" t="s">
        <v>5</v>
      </c>
      <c r="E17" s="10">
        <v>0</v>
      </c>
      <c r="F17" s="10"/>
      <c r="H17" s="8"/>
    </row>
    <row r="18" spans="1:12" x14ac:dyDescent="0.3">
      <c r="A18" s="8"/>
      <c r="C18" s="2"/>
      <c r="D18" s="2"/>
      <c r="E18" s="2"/>
      <c r="F18" s="2"/>
      <c r="H18" s="8"/>
    </row>
    <row r="19" spans="1:12" ht="17.25" x14ac:dyDescent="0.3">
      <c r="A19" s="8"/>
      <c r="C19" s="2"/>
      <c r="D19" s="50" t="s">
        <v>6</v>
      </c>
      <c r="E19" s="2"/>
      <c r="F19" s="2"/>
      <c r="H19" s="8"/>
    </row>
    <row r="20" spans="1:12" x14ac:dyDescent="0.3">
      <c r="A20" s="8"/>
      <c r="C20" s="2"/>
      <c r="D20" s="2"/>
      <c r="E20" s="2"/>
      <c r="F20" s="2"/>
      <c r="H20" s="8"/>
    </row>
    <row r="21" spans="1:12" ht="17.25" thickBot="1" x14ac:dyDescent="0.35">
      <c r="A21" s="8"/>
      <c r="C21" s="2"/>
      <c r="D21" s="2"/>
      <c r="E21" s="45" t="s">
        <v>92</v>
      </c>
      <c r="F21" s="9"/>
      <c r="H21" s="8"/>
    </row>
    <row r="22" spans="1:12" ht="17.25" thickBot="1" x14ac:dyDescent="0.35">
      <c r="A22" s="8"/>
      <c r="C22" s="2"/>
      <c r="D22" s="2" t="s">
        <v>97</v>
      </c>
      <c r="E22" s="38">
        <v>1.65</v>
      </c>
      <c r="F22" s="9"/>
      <c r="G22" s="21"/>
      <c r="H22" s="8"/>
      <c r="I22" s="22"/>
      <c r="J22" s="22"/>
      <c r="L22" s="23"/>
    </row>
    <row r="23" spans="1:12" ht="17.25" thickBot="1" x14ac:dyDescent="0.35">
      <c r="A23" s="8"/>
      <c r="C23" s="2"/>
      <c r="D23" s="2" t="s">
        <v>98</v>
      </c>
      <c r="E23" s="38">
        <v>7.6</v>
      </c>
      <c r="F23" s="9"/>
      <c r="H23" s="8"/>
      <c r="J23" s="22"/>
      <c r="L23" s="23"/>
    </row>
    <row r="24" spans="1:12" ht="17.25" thickBot="1" x14ac:dyDescent="0.35">
      <c r="A24" s="8"/>
      <c r="C24" s="2"/>
      <c r="D24" s="2" t="s">
        <v>99</v>
      </c>
      <c r="E24" s="38">
        <v>5</v>
      </c>
      <c r="F24" s="9"/>
      <c r="G24" s="20"/>
      <c r="H24" s="8"/>
    </row>
    <row r="25" spans="1:12" ht="17.25" thickBot="1" x14ac:dyDescent="0.35">
      <c r="A25" s="8"/>
      <c r="C25" s="2"/>
      <c r="D25" s="2" t="s">
        <v>100</v>
      </c>
      <c r="E25" s="38">
        <v>18</v>
      </c>
      <c r="F25" s="9"/>
      <c r="H25" s="8"/>
    </row>
    <row r="26" spans="1:12" ht="17.25" thickBot="1" x14ac:dyDescent="0.35">
      <c r="A26" s="8"/>
      <c r="C26" s="2"/>
      <c r="D26" s="2" t="s">
        <v>101</v>
      </c>
      <c r="E26" s="38">
        <v>3</v>
      </c>
      <c r="F26" s="2"/>
      <c r="H26" s="8"/>
    </row>
    <row r="27" spans="1:12" x14ac:dyDescent="0.3">
      <c r="A27" s="8"/>
      <c r="C27" s="2"/>
      <c r="D27" s="2"/>
      <c r="E27" s="2"/>
      <c r="F27" s="2"/>
      <c r="H27" s="8"/>
    </row>
    <row r="28" spans="1:12" ht="17.25" x14ac:dyDescent="0.3">
      <c r="A28" s="8"/>
      <c r="C28" s="2"/>
      <c r="D28" s="50" t="s">
        <v>8</v>
      </c>
      <c r="E28" s="2"/>
      <c r="F28" s="2"/>
      <c r="H28" s="8"/>
    </row>
    <row r="29" spans="1:12" x14ac:dyDescent="0.3">
      <c r="A29" s="8"/>
      <c r="C29" s="2"/>
      <c r="D29" s="2"/>
      <c r="E29" s="2"/>
      <c r="F29" s="9"/>
      <c r="H29" s="8"/>
    </row>
    <row r="30" spans="1:12" ht="17.25" thickBot="1" x14ac:dyDescent="0.35">
      <c r="A30" s="8"/>
      <c r="C30" s="2"/>
      <c r="D30" s="2"/>
      <c r="E30" s="45" t="s">
        <v>92</v>
      </c>
      <c r="F30" s="9"/>
      <c r="H30" s="8"/>
    </row>
    <row r="31" spans="1:12" ht="17.25" thickBot="1" x14ac:dyDescent="0.35">
      <c r="A31" s="8"/>
      <c r="C31" s="2"/>
      <c r="D31" s="2" t="s">
        <v>97</v>
      </c>
      <c r="E31" s="38">
        <v>0.65</v>
      </c>
      <c r="F31" s="2"/>
      <c r="H31" s="8"/>
    </row>
    <row r="32" spans="1:12" ht="17.25" thickBot="1" x14ac:dyDescent="0.35">
      <c r="A32" s="8"/>
      <c r="C32" s="2"/>
      <c r="D32" s="2" t="s">
        <v>98</v>
      </c>
      <c r="E32" s="38">
        <v>3</v>
      </c>
      <c r="F32" s="2"/>
      <c r="H32" s="8"/>
    </row>
    <row r="33" spans="1:8" x14ac:dyDescent="0.3">
      <c r="A33" s="8"/>
      <c r="C33" s="2"/>
      <c r="D33" s="2"/>
      <c r="E33" s="2"/>
      <c r="F33" s="2"/>
      <c r="H33" s="8"/>
    </row>
    <row r="34" spans="1:8" x14ac:dyDescent="0.3">
      <c r="A34" s="8"/>
      <c r="C34" s="2"/>
      <c r="D34" s="2"/>
      <c r="E34" s="2"/>
      <c r="F34" s="2"/>
      <c r="H34" s="8"/>
    </row>
    <row r="35" spans="1:8" x14ac:dyDescent="0.3">
      <c r="A35" s="8"/>
      <c r="C35" s="2"/>
      <c r="D35" s="2"/>
      <c r="E35" s="2"/>
      <c r="F35" s="2"/>
      <c r="H35" s="8"/>
    </row>
    <row r="36" spans="1:8" x14ac:dyDescent="0.3">
      <c r="A36" s="8"/>
      <c r="C36" s="2"/>
      <c r="D36" s="2"/>
      <c r="E36" s="2"/>
      <c r="F36" s="2"/>
      <c r="H36" s="8"/>
    </row>
    <row r="37" spans="1:8" x14ac:dyDescent="0.3">
      <c r="A37" s="8"/>
      <c r="C37" s="2"/>
      <c r="D37" s="2"/>
      <c r="E37" s="2"/>
      <c r="F37" s="2"/>
      <c r="H37" s="8"/>
    </row>
    <row r="38" spans="1:8" x14ac:dyDescent="0.3">
      <c r="A38" s="8"/>
      <c r="H38" s="8"/>
    </row>
    <row r="39" spans="1:8" x14ac:dyDescent="0.3">
      <c r="A39" s="8"/>
      <c r="B39" s="8"/>
      <c r="C39" s="8"/>
      <c r="D39" s="8"/>
      <c r="E39" s="8"/>
      <c r="F39" s="8"/>
      <c r="G39" s="8"/>
      <c r="H39" s="8"/>
    </row>
  </sheetData>
  <sheetProtection formatCells="0" formatColumns="0" formatRows="0" insertColumns="0" insertRows="0" deleteColumns="0" deleteRows="0"/>
  <mergeCells count="2">
    <mergeCell ref="B2:G2"/>
    <mergeCell ref="D4:E4"/>
  </mergeCells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J708"/>
  <sheetViews>
    <sheetView showGridLines="0" showRowColHeaders="0" topLeftCell="A4" zoomScale="90" zoomScaleNormal="90" workbookViewId="0"/>
  </sheetViews>
  <sheetFormatPr defaultColWidth="36.140625" defaultRowHeight="33" x14ac:dyDescent="0.6"/>
  <cols>
    <col min="1" max="1" width="22.85546875" style="4" customWidth="1"/>
    <col min="2" max="3" width="5.42578125" style="4" customWidth="1"/>
    <col min="4" max="4" width="47" style="4" customWidth="1"/>
    <col min="5" max="5" width="14" style="4" customWidth="1"/>
    <col min="6" max="6" width="7.140625" style="4" customWidth="1"/>
    <col min="7" max="7" width="8.85546875" style="4" customWidth="1"/>
    <col min="8" max="8" width="3.85546875" style="4" customWidth="1"/>
    <col min="9" max="9" width="10.85546875" style="4" customWidth="1"/>
    <col min="10" max="16384" width="36.140625" style="4"/>
  </cols>
  <sheetData>
    <row r="1" spans="1:10" ht="16.7" customHeight="1" x14ac:dyDescent="0.6"/>
    <row r="2" spans="1:10" ht="27" customHeight="1" x14ac:dyDescent="0.6">
      <c r="A2" s="11"/>
      <c r="B2" s="85" t="s">
        <v>131</v>
      </c>
      <c r="C2" s="85"/>
      <c r="D2" s="85"/>
      <c r="E2" s="85"/>
      <c r="F2" s="85"/>
      <c r="G2" s="85"/>
      <c r="H2" s="11"/>
    </row>
    <row r="3" spans="1:10" ht="16.7" customHeight="1" x14ac:dyDescent="0.6">
      <c r="A3" s="11"/>
      <c r="D3" s="3"/>
      <c r="H3" s="11"/>
    </row>
    <row r="4" spans="1:10" ht="24.6" customHeight="1" x14ac:dyDescent="0.6">
      <c r="A4" s="11"/>
      <c r="D4" s="84" t="s">
        <v>9</v>
      </c>
      <c r="E4" s="84"/>
      <c r="H4" s="11"/>
    </row>
    <row r="5" spans="1:10" ht="24.6" customHeight="1" x14ac:dyDescent="0.6">
      <c r="A5" s="11"/>
      <c r="D5" s="12"/>
      <c r="H5" s="11"/>
    </row>
    <row r="6" spans="1:10" ht="19.350000000000001" customHeight="1" x14ac:dyDescent="0.6">
      <c r="A6" s="11"/>
      <c r="C6" s="5"/>
      <c r="D6" s="5"/>
      <c r="E6" s="5"/>
      <c r="F6" s="5"/>
      <c r="H6" s="11"/>
      <c r="J6" s="35"/>
    </row>
    <row r="7" spans="1:10" ht="19.350000000000001" customHeight="1" x14ac:dyDescent="0.6">
      <c r="A7" s="11"/>
      <c r="C7" s="5"/>
      <c r="D7" s="50" t="s">
        <v>10</v>
      </c>
      <c r="E7" s="45" t="s">
        <v>94</v>
      </c>
      <c r="F7" s="5"/>
      <c r="H7" s="11"/>
      <c r="J7" s="36"/>
    </row>
    <row r="8" spans="1:10" ht="19.350000000000001" customHeight="1" x14ac:dyDescent="0.6">
      <c r="A8" s="11"/>
      <c r="C8" s="5"/>
      <c r="D8" s="5"/>
      <c r="E8" s="68" t="s">
        <v>93</v>
      </c>
      <c r="F8" s="5"/>
      <c r="H8" s="11"/>
      <c r="J8" s="36"/>
    </row>
    <row r="9" spans="1:10" ht="19.350000000000001" customHeight="1" x14ac:dyDescent="0.6">
      <c r="A9" s="11"/>
      <c r="C9" s="5"/>
      <c r="D9" s="2" t="s">
        <v>11</v>
      </c>
      <c r="E9" s="39">
        <v>10000</v>
      </c>
      <c r="F9" s="5"/>
      <c r="H9" s="11"/>
      <c r="J9" s="36"/>
    </row>
    <row r="10" spans="1:10" ht="19.350000000000001" customHeight="1" thickBot="1" x14ac:dyDescent="0.65">
      <c r="A10" s="11"/>
      <c r="C10" s="5"/>
      <c r="D10" s="2" t="s">
        <v>12</v>
      </c>
      <c r="E10" s="40" t="s">
        <v>105</v>
      </c>
      <c r="F10" s="5"/>
      <c r="H10" s="11"/>
      <c r="J10" s="31" t="s">
        <v>105</v>
      </c>
    </row>
    <row r="11" spans="1:10" ht="19.350000000000001" customHeight="1" thickBot="1" x14ac:dyDescent="0.65">
      <c r="A11" s="11"/>
      <c r="C11" s="5"/>
      <c r="D11" s="2" t="s">
        <v>84</v>
      </c>
      <c r="E11" s="41">
        <v>0.6</v>
      </c>
      <c r="F11" s="5"/>
      <c r="H11" s="11"/>
      <c r="J11" s="31" t="s">
        <v>111</v>
      </c>
    </row>
    <row r="12" spans="1:10" ht="19.350000000000001" customHeight="1" x14ac:dyDescent="0.6">
      <c r="A12" s="11"/>
      <c r="C12" s="5"/>
      <c r="D12" s="2" t="s">
        <v>85</v>
      </c>
      <c r="E12" s="56">
        <f>E9*$E$11*(Configurações!$E$11/100)</f>
        <v>1590</v>
      </c>
      <c r="F12" s="5"/>
      <c r="H12" s="11"/>
      <c r="J12" s="31" t="s">
        <v>112</v>
      </c>
    </row>
    <row r="13" spans="1:10" ht="19.350000000000001" customHeight="1" x14ac:dyDescent="0.6">
      <c r="A13" s="11"/>
      <c r="C13" s="5"/>
      <c r="D13" s="5"/>
      <c r="E13" s="5"/>
      <c r="F13" s="5"/>
      <c r="H13" s="11"/>
      <c r="J13" s="31" t="s">
        <v>113</v>
      </c>
    </row>
    <row r="14" spans="1:10" ht="19.350000000000001" customHeight="1" x14ac:dyDescent="0.6">
      <c r="A14" s="11"/>
      <c r="C14" s="5"/>
      <c r="D14" s="50" t="s">
        <v>13</v>
      </c>
      <c r="E14" s="5"/>
      <c r="F14" s="5"/>
      <c r="H14" s="11"/>
    </row>
    <row r="15" spans="1:10" ht="19.350000000000001" customHeight="1" x14ac:dyDescent="0.6">
      <c r="A15" s="11"/>
      <c r="C15" s="5"/>
      <c r="D15" s="5"/>
      <c r="E15" s="5"/>
      <c r="F15" s="5"/>
      <c r="H15" s="11"/>
    </row>
    <row r="16" spans="1:10" ht="19.350000000000001" customHeight="1" x14ac:dyDescent="0.6">
      <c r="A16" s="11"/>
      <c r="C16" s="5"/>
      <c r="D16" s="2" t="s">
        <v>14</v>
      </c>
      <c r="E16" s="73">
        <f>IF(E10=J10,E9*(Configurações!$E$9/100),IF(E10=J11,E9*10.6/100,IF(E10=J12,E9*18.55/100,0)))</f>
        <v>880.00000000000011</v>
      </c>
      <c r="F16" s="5"/>
      <c r="H16" s="11"/>
    </row>
    <row r="17" spans="1:8" ht="19.350000000000001" customHeight="1" x14ac:dyDescent="0.6">
      <c r="A17" s="11"/>
      <c r="C17" s="5"/>
      <c r="D17" s="2" t="s">
        <v>15</v>
      </c>
      <c r="E17" s="73">
        <f>IF(E10="Padrão",E9*(Configurações!$E$10/100),IF(E10="Redução 60%",E9*7.08/100,IF(E10="Redução 30%",E9*12.39/100,0)))</f>
        <v>1770</v>
      </c>
      <c r="F17" s="5"/>
      <c r="H17" s="11"/>
    </row>
    <row r="18" spans="1:8" ht="19.350000000000001" customHeight="1" x14ac:dyDescent="0.6">
      <c r="A18" s="11"/>
      <c r="C18" s="5"/>
      <c r="D18" s="2" t="s">
        <v>16</v>
      </c>
      <c r="E18" s="73">
        <f>E12</f>
        <v>1590</v>
      </c>
      <c r="F18" s="5"/>
      <c r="H18" s="11"/>
    </row>
    <row r="19" spans="1:8" ht="19.350000000000001" customHeight="1" x14ac:dyDescent="0.6">
      <c r="A19" s="11"/>
      <c r="C19" s="5"/>
      <c r="D19" s="2"/>
      <c r="E19" s="2"/>
      <c r="F19" s="5"/>
      <c r="H19" s="11"/>
    </row>
    <row r="20" spans="1:8" ht="19.350000000000001" customHeight="1" x14ac:dyDescent="0.6">
      <c r="A20" s="11"/>
      <c r="C20" s="5"/>
      <c r="D20" s="2" t="s">
        <v>17</v>
      </c>
      <c r="E20" s="18">
        <f>(E16+E17)-E18</f>
        <v>1060</v>
      </c>
      <c r="F20" s="5"/>
      <c r="H20" s="11"/>
    </row>
    <row r="21" spans="1:8" ht="19.350000000000001" customHeight="1" x14ac:dyDescent="0.6">
      <c r="A21" s="11"/>
      <c r="C21" s="5"/>
      <c r="D21" s="2" t="s">
        <v>18</v>
      </c>
      <c r="E21" s="10">
        <f>(E20/E9)*100</f>
        <v>10.6</v>
      </c>
      <c r="F21" s="5"/>
      <c r="H21" s="11"/>
    </row>
    <row r="22" spans="1:8" ht="19.350000000000001" customHeight="1" x14ac:dyDescent="0.6">
      <c r="A22" s="11"/>
      <c r="C22" s="5"/>
      <c r="D22" s="5"/>
      <c r="E22" s="5"/>
      <c r="F22" s="5"/>
      <c r="H22" s="11"/>
    </row>
    <row r="23" spans="1:8" ht="19.350000000000001" customHeight="1" x14ac:dyDescent="0.6">
      <c r="A23" s="11"/>
      <c r="C23" s="5"/>
      <c r="D23" s="50" t="s">
        <v>19</v>
      </c>
      <c r="E23" s="5"/>
      <c r="F23" s="5"/>
      <c r="H23" s="11"/>
    </row>
    <row r="24" spans="1:8" ht="19.350000000000001" customHeight="1" x14ac:dyDescent="0.6">
      <c r="A24" s="11"/>
      <c r="C24" s="5"/>
      <c r="D24" s="5"/>
      <c r="E24" s="5"/>
      <c r="F24" s="5"/>
      <c r="H24" s="11"/>
    </row>
    <row r="25" spans="1:8" ht="19.350000000000001" customHeight="1" x14ac:dyDescent="0.6">
      <c r="A25" s="11"/>
      <c r="C25" s="5"/>
      <c r="D25" s="2" t="s">
        <v>20</v>
      </c>
      <c r="E25" s="17">
        <f>E9</f>
        <v>10000</v>
      </c>
      <c r="F25" s="5"/>
      <c r="H25" s="11"/>
    </row>
    <row r="26" spans="1:8" ht="19.350000000000001" customHeight="1" x14ac:dyDescent="0.6">
      <c r="A26" s="11"/>
      <c r="C26" s="5"/>
      <c r="D26" s="2" t="s">
        <v>21</v>
      </c>
      <c r="E26" s="17">
        <f>E16+E17</f>
        <v>2650</v>
      </c>
      <c r="F26" s="5"/>
      <c r="H26" s="11"/>
    </row>
    <row r="27" spans="1:8" ht="19.350000000000001" customHeight="1" x14ac:dyDescent="0.6">
      <c r="A27" s="11"/>
      <c r="C27" s="5"/>
      <c r="D27" s="2"/>
      <c r="E27" s="2"/>
      <c r="F27" s="5"/>
      <c r="H27" s="11"/>
    </row>
    <row r="28" spans="1:8" ht="19.350000000000001" customHeight="1" x14ac:dyDescent="0.6">
      <c r="A28" s="11"/>
      <c r="C28" s="5"/>
      <c r="D28" s="2" t="s">
        <v>22</v>
      </c>
      <c r="E28" s="18">
        <f>E25+E26</f>
        <v>12650</v>
      </c>
      <c r="F28" s="5"/>
      <c r="H28" s="11"/>
    </row>
    <row r="29" spans="1:8" ht="19.350000000000001" customHeight="1" x14ac:dyDescent="0.6">
      <c r="A29" s="11"/>
      <c r="C29" s="5"/>
      <c r="D29" s="5"/>
      <c r="E29" s="5"/>
      <c r="F29" s="5"/>
      <c r="H29" s="11"/>
    </row>
    <row r="30" spans="1:8" ht="19.350000000000001" customHeight="1" x14ac:dyDescent="0.6">
      <c r="A30" s="11"/>
      <c r="C30" s="5"/>
      <c r="D30" s="5"/>
      <c r="E30" s="5"/>
      <c r="F30" s="5"/>
      <c r="H30" s="11"/>
    </row>
    <row r="31" spans="1:8" ht="19.350000000000001" customHeight="1" x14ac:dyDescent="0.6">
      <c r="A31" s="11"/>
      <c r="C31" s="5"/>
      <c r="D31" s="5"/>
      <c r="E31" s="5"/>
      <c r="F31" s="5"/>
      <c r="H31" s="11"/>
    </row>
    <row r="32" spans="1:8" ht="19.350000000000001" customHeight="1" x14ac:dyDescent="0.6">
      <c r="A32" s="11"/>
      <c r="C32" s="5"/>
      <c r="D32" s="5"/>
      <c r="E32" s="5"/>
      <c r="F32" s="5"/>
      <c r="H32" s="11"/>
    </row>
    <row r="33" spans="1:8" ht="19.350000000000001" customHeight="1" x14ac:dyDescent="0.6">
      <c r="A33" s="11"/>
      <c r="C33" s="5"/>
      <c r="D33" s="5"/>
      <c r="E33" s="5"/>
      <c r="F33" s="5"/>
      <c r="H33" s="11"/>
    </row>
    <row r="34" spans="1:8" ht="19.350000000000001" customHeight="1" x14ac:dyDescent="0.6">
      <c r="A34" s="11"/>
      <c r="C34" s="5"/>
      <c r="D34" s="5"/>
      <c r="E34" s="5"/>
      <c r="F34" s="5"/>
      <c r="H34" s="11"/>
    </row>
    <row r="35" spans="1:8" ht="19.350000000000001" customHeight="1" x14ac:dyDescent="0.6">
      <c r="A35" s="11"/>
      <c r="C35" s="5"/>
      <c r="D35" s="5"/>
      <c r="E35" s="5"/>
      <c r="F35" s="5"/>
      <c r="H35" s="11"/>
    </row>
    <row r="36" spans="1:8" ht="19.350000000000001" customHeight="1" x14ac:dyDescent="0.6">
      <c r="A36" s="11"/>
      <c r="C36" s="5"/>
      <c r="D36" s="5"/>
      <c r="E36" s="5"/>
      <c r="F36" s="5"/>
      <c r="H36" s="11"/>
    </row>
    <row r="37" spans="1:8" ht="19.350000000000001" customHeight="1" x14ac:dyDescent="0.6">
      <c r="A37" s="11"/>
      <c r="C37" s="5"/>
      <c r="D37" s="5"/>
      <c r="E37" s="5"/>
      <c r="F37" s="5"/>
      <c r="H37" s="11"/>
    </row>
    <row r="38" spans="1:8" ht="19.350000000000001" customHeight="1" x14ac:dyDescent="0.6">
      <c r="A38" s="11"/>
      <c r="H38" s="11"/>
    </row>
    <row r="39" spans="1:8" ht="19.350000000000001" customHeight="1" x14ac:dyDescent="0.6">
      <c r="A39" s="11"/>
      <c r="B39" s="11"/>
      <c r="C39" s="11"/>
      <c r="D39" s="11"/>
      <c r="E39" s="11"/>
      <c r="F39" s="11"/>
      <c r="G39" s="11"/>
      <c r="H39" s="11"/>
    </row>
    <row r="40" spans="1:8" ht="19.350000000000001" customHeight="1" x14ac:dyDescent="0.6"/>
    <row r="41" spans="1:8" ht="19.350000000000001" customHeight="1" x14ac:dyDescent="0.6"/>
    <row r="42" spans="1:8" ht="19.350000000000001" customHeight="1" x14ac:dyDescent="0.6"/>
    <row r="43" spans="1:8" ht="19.350000000000001" customHeight="1" x14ac:dyDescent="0.6"/>
    <row r="44" spans="1:8" ht="19.350000000000001" customHeight="1" x14ac:dyDescent="0.6"/>
    <row r="45" spans="1:8" ht="19.350000000000001" customHeight="1" x14ac:dyDescent="0.6"/>
    <row r="46" spans="1:8" ht="19.350000000000001" customHeight="1" x14ac:dyDescent="0.6"/>
    <row r="47" spans="1:8" ht="19.350000000000001" customHeight="1" x14ac:dyDescent="0.6"/>
    <row r="48" spans="1:8" ht="19.350000000000001" customHeight="1" x14ac:dyDescent="0.6"/>
    <row r="49" ht="19.350000000000001" customHeight="1" x14ac:dyDescent="0.6"/>
    <row r="50" ht="19.350000000000001" customHeight="1" x14ac:dyDescent="0.6"/>
    <row r="51" ht="19.350000000000001" customHeight="1" x14ac:dyDescent="0.6"/>
    <row r="52" ht="19.350000000000001" customHeight="1" x14ac:dyDescent="0.6"/>
    <row r="53" ht="19.350000000000001" customHeight="1" x14ac:dyDescent="0.6"/>
    <row r="54" ht="19.350000000000001" customHeight="1" x14ac:dyDescent="0.6"/>
    <row r="55" ht="19.350000000000001" customHeight="1" x14ac:dyDescent="0.6"/>
    <row r="56" ht="19.350000000000001" customHeight="1" x14ac:dyDescent="0.6"/>
    <row r="57" ht="19.350000000000001" customHeight="1" x14ac:dyDescent="0.6"/>
    <row r="58" ht="19.350000000000001" customHeight="1" x14ac:dyDescent="0.6"/>
    <row r="59" ht="19.350000000000001" customHeight="1" x14ac:dyDescent="0.6"/>
    <row r="60" ht="19.350000000000001" customHeight="1" x14ac:dyDescent="0.6"/>
    <row r="61" ht="19.350000000000001" customHeight="1" x14ac:dyDescent="0.6"/>
    <row r="62" ht="19.350000000000001" customHeight="1" x14ac:dyDescent="0.6"/>
    <row r="63" ht="19.350000000000001" customHeight="1" x14ac:dyDescent="0.6"/>
    <row r="64" ht="19.350000000000001" customHeight="1" x14ac:dyDescent="0.6"/>
    <row r="65" ht="19.350000000000001" customHeight="1" x14ac:dyDescent="0.6"/>
    <row r="66" ht="19.350000000000001" customHeight="1" x14ac:dyDescent="0.6"/>
    <row r="67" ht="19.350000000000001" customHeight="1" x14ac:dyDescent="0.6"/>
    <row r="68" ht="19.350000000000001" customHeight="1" x14ac:dyDescent="0.6"/>
    <row r="69" ht="19.350000000000001" customHeight="1" x14ac:dyDescent="0.6"/>
    <row r="70" ht="19.350000000000001" customHeight="1" x14ac:dyDescent="0.6"/>
    <row r="71" ht="19.350000000000001" customHeight="1" x14ac:dyDescent="0.6"/>
    <row r="72" ht="19.350000000000001" customHeight="1" x14ac:dyDescent="0.6"/>
    <row r="73" ht="19.350000000000001" customHeight="1" x14ac:dyDescent="0.6"/>
    <row r="74" ht="19.350000000000001" customHeight="1" x14ac:dyDescent="0.6"/>
    <row r="75" ht="19.350000000000001" customHeight="1" x14ac:dyDescent="0.6"/>
    <row r="76" ht="19.350000000000001" customHeight="1" x14ac:dyDescent="0.6"/>
    <row r="77" ht="19.350000000000001" customHeight="1" x14ac:dyDescent="0.6"/>
    <row r="78" ht="19.350000000000001" customHeight="1" x14ac:dyDescent="0.6"/>
    <row r="79" ht="19.350000000000001" customHeight="1" x14ac:dyDescent="0.6"/>
    <row r="80" ht="19.350000000000001" customHeight="1" x14ac:dyDescent="0.6"/>
    <row r="81" ht="19.350000000000001" customHeight="1" x14ac:dyDescent="0.6"/>
    <row r="82" ht="19.350000000000001" customHeight="1" x14ac:dyDescent="0.6"/>
    <row r="83" ht="19.350000000000001" customHeight="1" x14ac:dyDescent="0.6"/>
    <row r="84" ht="19.350000000000001" customHeight="1" x14ac:dyDescent="0.6"/>
    <row r="85" ht="19.350000000000001" customHeight="1" x14ac:dyDescent="0.6"/>
    <row r="86" ht="19.350000000000001" customHeight="1" x14ac:dyDescent="0.6"/>
    <row r="87" ht="19.350000000000001" customHeight="1" x14ac:dyDescent="0.6"/>
    <row r="88" ht="19.350000000000001" customHeight="1" x14ac:dyDescent="0.6"/>
    <row r="89" ht="19.350000000000001" customHeight="1" x14ac:dyDescent="0.6"/>
    <row r="90" ht="19.350000000000001" customHeight="1" x14ac:dyDescent="0.6"/>
    <row r="91" ht="19.350000000000001" customHeight="1" x14ac:dyDescent="0.6"/>
    <row r="92" ht="19.350000000000001" customHeight="1" x14ac:dyDescent="0.6"/>
    <row r="93" ht="19.350000000000001" customHeight="1" x14ac:dyDescent="0.6"/>
    <row r="94" ht="19.350000000000001" customHeight="1" x14ac:dyDescent="0.6"/>
    <row r="95" ht="19.350000000000001" customHeight="1" x14ac:dyDescent="0.6"/>
    <row r="96" ht="19.350000000000001" customHeight="1" x14ac:dyDescent="0.6"/>
    <row r="97" ht="19.350000000000001" customHeight="1" x14ac:dyDescent="0.6"/>
    <row r="98" ht="19.350000000000001" customHeight="1" x14ac:dyDescent="0.6"/>
    <row r="99" ht="19.350000000000001" customHeight="1" x14ac:dyDescent="0.6"/>
    <row r="100" ht="19.350000000000001" customHeight="1" x14ac:dyDescent="0.6"/>
    <row r="101" ht="19.350000000000001" customHeight="1" x14ac:dyDescent="0.6"/>
    <row r="102" ht="19.350000000000001" customHeight="1" x14ac:dyDescent="0.6"/>
    <row r="103" ht="19.350000000000001" customHeight="1" x14ac:dyDescent="0.6"/>
    <row r="104" ht="19.350000000000001" customHeight="1" x14ac:dyDescent="0.6"/>
    <row r="105" ht="19.350000000000001" customHeight="1" x14ac:dyDescent="0.6"/>
    <row r="106" ht="19.350000000000001" customHeight="1" x14ac:dyDescent="0.6"/>
    <row r="107" ht="19.350000000000001" customHeight="1" x14ac:dyDescent="0.6"/>
    <row r="108" ht="19.350000000000001" customHeight="1" x14ac:dyDescent="0.6"/>
    <row r="109" ht="19.350000000000001" customHeight="1" x14ac:dyDescent="0.6"/>
    <row r="110" ht="19.350000000000001" customHeight="1" x14ac:dyDescent="0.6"/>
    <row r="111" ht="19.350000000000001" customHeight="1" x14ac:dyDescent="0.6"/>
    <row r="112" ht="19.350000000000001" customHeight="1" x14ac:dyDescent="0.6"/>
    <row r="113" ht="19.350000000000001" customHeight="1" x14ac:dyDescent="0.6"/>
    <row r="114" ht="19.350000000000001" customHeight="1" x14ac:dyDescent="0.6"/>
    <row r="115" ht="19.350000000000001" customHeight="1" x14ac:dyDescent="0.6"/>
    <row r="116" ht="19.350000000000001" customHeight="1" x14ac:dyDescent="0.6"/>
    <row r="117" ht="19.350000000000001" customHeight="1" x14ac:dyDescent="0.6"/>
    <row r="118" ht="19.350000000000001" customHeight="1" x14ac:dyDescent="0.6"/>
    <row r="119" ht="19.350000000000001" customHeight="1" x14ac:dyDescent="0.6"/>
    <row r="120" ht="19.350000000000001" customHeight="1" x14ac:dyDescent="0.6"/>
    <row r="121" ht="19.350000000000001" customHeight="1" x14ac:dyDescent="0.6"/>
    <row r="122" ht="19.350000000000001" customHeight="1" x14ac:dyDescent="0.6"/>
    <row r="123" ht="19.350000000000001" customHeight="1" x14ac:dyDescent="0.6"/>
    <row r="124" ht="19.350000000000001" customHeight="1" x14ac:dyDescent="0.6"/>
    <row r="125" ht="19.350000000000001" customHeight="1" x14ac:dyDescent="0.6"/>
    <row r="126" ht="19.350000000000001" customHeight="1" x14ac:dyDescent="0.6"/>
    <row r="127" ht="19.350000000000001" customHeight="1" x14ac:dyDescent="0.6"/>
    <row r="128" ht="19.350000000000001" customHeight="1" x14ac:dyDescent="0.6"/>
    <row r="129" ht="19.350000000000001" customHeight="1" x14ac:dyDescent="0.6"/>
    <row r="130" ht="19.350000000000001" customHeight="1" x14ac:dyDescent="0.6"/>
    <row r="131" ht="19.350000000000001" customHeight="1" x14ac:dyDescent="0.6"/>
    <row r="132" ht="19.350000000000001" customHeight="1" x14ac:dyDescent="0.6"/>
    <row r="133" ht="19.350000000000001" customHeight="1" x14ac:dyDescent="0.6"/>
    <row r="134" ht="19.350000000000001" customHeight="1" x14ac:dyDescent="0.6"/>
    <row r="135" ht="19.350000000000001" customHeight="1" x14ac:dyDescent="0.6"/>
    <row r="136" ht="19.350000000000001" customHeight="1" x14ac:dyDescent="0.6"/>
    <row r="137" ht="19.350000000000001" customHeight="1" x14ac:dyDescent="0.6"/>
    <row r="138" ht="19.350000000000001" customHeight="1" x14ac:dyDescent="0.6"/>
    <row r="139" ht="19.350000000000001" customHeight="1" x14ac:dyDescent="0.6"/>
    <row r="140" ht="19.350000000000001" customHeight="1" x14ac:dyDescent="0.6"/>
    <row r="141" ht="19.350000000000001" customHeight="1" x14ac:dyDescent="0.6"/>
    <row r="142" ht="19.350000000000001" customHeight="1" x14ac:dyDescent="0.6"/>
    <row r="143" ht="19.350000000000001" customHeight="1" x14ac:dyDescent="0.6"/>
    <row r="144" ht="19.350000000000001" customHeight="1" x14ac:dyDescent="0.6"/>
    <row r="145" ht="19.350000000000001" customHeight="1" x14ac:dyDescent="0.6"/>
    <row r="146" ht="19.350000000000001" customHeight="1" x14ac:dyDescent="0.6"/>
    <row r="147" ht="19.350000000000001" customHeight="1" x14ac:dyDescent="0.6"/>
    <row r="148" ht="19.350000000000001" customHeight="1" x14ac:dyDescent="0.6"/>
    <row r="149" ht="19.350000000000001" customHeight="1" x14ac:dyDescent="0.6"/>
    <row r="150" ht="19.350000000000001" customHeight="1" x14ac:dyDescent="0.6"/>
    <row r="151" ht="19.350000000000001" customHeight="1" x14ac:dyDescent="0.6"/>
    <row r="152" ht="19.350000000000001" customHeight="1" x14ac:dyDescent="0.6"/>
    <row r="153" ht="19.350000000000001" customHeight="1" x14ac:dyDescent="0.6"/>
    <row r="154" ht="19.350000000000001" customHeight="1" x14ac:dyDescent="0.6"/>
    <row r="155" ht="19.350000000000001" customHeight="1" x14ac:dyDescent="0.6"/>
    <row r="156" ht="19.350000000000001" customHeight="1" x14ac:dyDescent="0.6"/>
    <row r="157" ht="19.350000000000001" customHeight="1" x14ac:dyDescent="0.6"/>
    <row r="158" ht="19.350000000000001" customHeight="1" x14ac:dyDescent="0.6"/>
    <row r="159" ht="19.350000000000001" customHeight="1" x14ac:dyDescent="0.6"/>
    <row r="160" ht="19.350000000000001" customHeight="1" x14ac:dyDescent="0.6"/>
    <row r="161" ht="19.350000000000001" customHeight="1" x14ac:dyDescent="0.6"/>
    <row r="162" ht="19.350000000000001" customHeight="1" x14ac:dyDescent="0.6"/>
    <row r="163" ht="19.350000000000001" customHeight="1" x14ac:dyDescent="0.6"/>
    <row r="164" ht="19.350000000000001" customHeight="1" x14ac:dyDescent="0.6"/>
    <row r="165" ht="19.350000000000001" customHeight="1" x14ac:dyDescent="0.6"/>
    <row r="166" ht="19.350000000000001" customHeight="1" x14ac:dyDescent="0.6"/>
    <row r="167" ht="19.350000000000001" customHeight="1" x14ac:dyDescent="0.6"/>
    <row r="168" ht="19.350000000000001" customHeight="1" x14ac:dyDescent="0.6"/>
    <row r="169" ht="19.350000000000001" customHeight="1" x14ac:dyDescent="0.6"/>
    <row r="170" ht="19.350000000000001" customHeight="1" x14ac:dyDescent="0.6"/>
    <row r="171" ht="19.350000000000001" customHeight="1" x14ac:dyDescent="0.6"/>
    <row r="172" ht="19.350000000000001" customHeight="1" x14ac:dyDescent="0.6"/>
    <row r="173" ht="19.350000000000001" customHeight="1" x14ac:dyDescent="0.6"/>
    <row r="174" ht="19.350000000000001" customHeight="1" x14ac:dyDescent="0.6"/>
    <row r="175" ht="19.350000000000001" customHeight="1" x14ac:dyDescent="0.6"/>
    <row r="176" ht="19.350000000000001" customHeight="1" x14ac:dyDescent="0.6"/>
    <row r="177" ht="19.350000000000001" customHeight="1" x14ac:dyDescent="0.6"/>
    <row r="178" ht="19.350000000000001" customHeight="1" x14ac:dyDescent="0.6"/>
    <row r="179" ht="19.350000000000001" customHeight="1" x14ac:dyDescent="0.6"/>
    <row r="180" ht="19.350000000000001" customHeight="1" x14ac:dyDescent="0.6"/>
    <row r="181" ht="19.350000000000001" customHeight="1" x14ac:dyDescent="0.6"/>
    <row r="182" ht="19.350000000000001" customHeight="1" x14ac:dyDescent="0.6"/>
    <row r="183" ht="19.350000000000001" customHeight="1" x14ac:dyDescent="0.6"/>
    <row r="184" ht="19.350000000000001" customHeight="1" x14ac:dyDescent="0.6"/>
    <row r="185" ht="19.350000000000001" customHeight="1" x14ac:dyDescent="0.6"/>
    <row r="186" ht="19.350000000000001" customHeight="1" x14ac:dyDescent="0.6"/>
    <row r="187" ht="19.350000000000001" customHeight="1" x14ac:dyDescent="0.6"/>
    <row r="188" ht="19.350000000000001" customHeight="1" x14ac:dyDescent="0.6"/>
    <row r="189" ht="19.350000000000001" customHeight="1" x14ac:dyDescent="0.6"/>
    <row r="190" ht="19.350000000000001" customHeight="1" x14ac:dyDescent="0.6"/>
    <row r="191" ht="19.350000000000001" customHeight="1" x14ac:dyDescent="0.6"/>
    <row r="192" ht="19.350000000000001" customHeight="1" x14ac:dyDescent="0.6"/>
    <row r="193" ht="19.350000000000001" customHeight="1" x14ac:dyDescent="0.6"/>
    <row r="194" ht="19.350000000000001" customHeight="1" x14ac:dyDescent="0.6"/>
    <row r="195" ht="19.350000000000001" customHeight="1" x14ac:dyDescent="0.6"/>
    <row r="196" ht="19.350000000000001" customHeight="1" x14ac:dyDescent="0.6"/>
    <row r="197" ht="19.350000000000001" customHeight="1" x14ac:dyDescent="0.6"/>
    <row r="198" ht="19.350000000000001" customHeight="1" x14ac:dyDescent="0.6"/>
    <row r="199" ht="19.350000000000001" customHeight="1" x14ac:dyDescent="0.6"/>
    <row r="200" ht="19.350000000000001" customHeight="1" x14ac:dyDescent="0.6"/>
    <row r="201" ht="19.350000000000001" customHeight="1" x14ac:dyDescent="0.6"/>
    <row r="202" ht="19.350000000000001" customHeight="1" x14ac:dyDescent="0.6"/>
    <row r="203" ht="19.350000000000001" customHeight="1" x14ac:dyDescent="0.6"/>
    <row r="204" ht="19.350000000000001" customHeight="1" x14ac:dyDescent="0.6"/>
    <row r="205" ht="19.350000000000001" customHeight="1" x14ac:dyDescent="0.6"/>
    <row r="206" ht="19.350000000000001" customHeight="1" x14ac:dyDescent="0.6"/>
    <row r="207" ht="19.350000000000001" customHeight="1" x14ac:dyDescent="0.6"/>
    <row r="208" ht="19.350000000000001" customHeight="1" x14ac:dyDescent="0.6"/>
    <row r="209" ht="19.350000000000001" customHeight="1" x14ac:dyDescent="0.6"/>
    <row r="210" ht="19.350000000000001" customHeight="1" x14ac:dyDescent="0.6"/>
    <row r="211" ht="19.350000000000001" customHeight="1" x14ac:dyDescent="0.6"/>
    <row r="212" ht="19.350000000000001" customHeight="1" x14ac:dyDescent="0.6"/>
    <row r="213" ht="19.350000000000001" customHeight="1" x14ac:dyDescent="0.6"/>
    <row r="214" ht="19.350000000000001" customHeight="1" x14ac:dyDescent="0.6"/>
    <row r="215" ht="19.350000000000001" customHeight="1" x14ac:dyDescent="0.6"/>
    <row r="216" ht="19.350000000000001" customHeight="1" x14ac:dyDescent="0.6"/>
    <row r="217" ht="19.350000000000001" customHeight="1" x14ac:dyDescent="0.6"/>
    <row r="218" ht="19.350000000000001" customHeight="1" x14ac:dyDescent="0.6"/>
    <row r="219" ht="19.350000000000001" customHeight="1" x14ac:dyDescent="0.6"/>
    <row r="220" ht="19.350000000000001" customHeight="1" x14ac:dyDescent="0.6"/>
    <row r="221" ht="19.350000000000001" customHeight="1" x14ac:dyDescent="0.6"/>
    <row r="222" ht="19.350000000000001" customHeight="1" x14ac:dyDescent="0.6"/>
    <row r="223" ht="19.350000000000001" customHeight="1" x14ac:dyDescent="0.6"/>
    <row r="224" ht="19.350000000000001" customHeight="1" x14ac:dyDescent="0.6"/>
    <row r="225" ht="19.350000000000001" customHeight="1" x14ac:dyDescent="0.6"/>
    <row r="226" ht="19.350000000000001" customHeight="1" x14ac:dyDescent="0.6"/>
    <row r="227" ht="19.350000000000001" customHeight="1" x14ac:dyDescent="0.6"/>
    <row r="228" ht="19.350000000000001" customHeight="1" x14ac:dyDescent="0.6"/>
    <row r="229" ht="19.350000000000001" customHeight="1" x14ac:dyDescent="0.6"/>
    <row r="230" ht="19.350000000000001" customHeight="1" x14ac:dyDescent="0.6"/>
    <row r="231" ht="19.350000000000001" customHeight="1" x14ac:dyDescent="0.6"/>
    <row r="232" ht="19.350000000000001" customHeight="1" x14ac:dyDescent="0.6"/>
    <row r="233" ht="19.350000000000001" customHeight="1" x14ac:dyDescent="0.6"/>
    <row r="234" ht="19.350000000000001" customHeight="1" x14ac:dyDescent="0.6"/>
    <row r="235" ht="19.350000000000001" customHeight="1" x14ac:dyDescent="0.6"/>
    <row r="236" ht="19.350000000000001" customHeight="1" x14ac:dyDescent="0.6"/>
    <row r="237" ht="19.350000000000001" customHeight="1" x14ac:dyDescent="0.6"/>
    <row r="238" ht="19.350000000000001" customHeight="1" x14ac:dyDescent="0.6"/>
    <row r="239" ht="19.350000000000001" customHeight="1" x14ac:dyDescent="0.6"/>
    <row r="240" ht="19.350000000000001" customHeight="1" x14ac:dyDescent="0.6"/>
    <row r="241" ht="19.350000000000001" customHeight="1" x14ac:dyDescent="0.6"/>
    <row r="242" ht="19.350000000000001" customHeight="1" x14ac:dyDescent="0.6"/>
    <row r="243" ht="19.350000000000001" customHeight="1" x14ac:dyDescent="0.6"/>
    <row r="244" ht="19.350000000000001" customHeight="1" x14ac:dyDescent="0.6"/>
    <row r="245" ht="19.350000000000001" customHeight="1" x14ac:dyDescent="0.6"/>
    <row r="246" ht="19.350000000000001" customHeight="1" x14ac:dyDescent="0.6"/>
    <row r="247" ht="19.350000000000001" customHeight="1" x14ac:dyDescent="0.6"/>
    <row r="248" ht="19.350000000000001" customHeight="1" x14ac:dyDescent="0.6"/>
    <row r="249" ht="19.350000000000001" customHeight="1" x14ac:dyDescent="0.6"/>
    <row r="250" ht="19.350000000000001" customHeight="1" x14ac:dyDescent="0.6"/>
    <row r="251" ht="19.350000000000001" customHeight="1" x14ac:dyDescent="0.6"/>
    <row r="252" ht="19.350000000000001" customHeight="1" x14ac:dyDescent="0.6"/>
    <row r="253" ht="19.350000000000001" customHeight="1" x14ac:dyDescent="0.6"/>
    <row r="254" ht="19.350000000000001" customHeight="1" x14ac:dyDescent="0.6"/>
    <row r="255" ht="19.350000000000001" customHeight="1" x14ac:dyDescent="0.6"/>
    <row r="256" ht="19.350000000000001" customHeight="1" x14ac:dyDescent="0.6"/>
    <row r="257" ht="19.350000000000001" customHeight="1" x14ac:dyDescent="0.6"/>
    <row r="258" ht="19.350000000000001" customHeight="1" x14ac:dyDescent="0.6"/>
    <row r="259" ht="19.350000000000001" customHeight="1" x14ac:dyDescent="0.6"/>
    <row r="260" ht="19.350000000000001" customHeight="1" x14ac:dyDescent="0.6"/>
    <row r="261" ht="19.350000000000001" customHeight="1" x14ac:dyDescent="0.6"/>
    <row r="262" ht="19.350000000000001" customHeight="1" x14ac:dyDescent="0.6"/>
    <row r="263" ht="19.350000000000001" customHeight="1" x14ac:dyDescent="0.6"/>
    <row r="264" ht="19.350000000000001" customHeight="1" x14ac:dyDescent="0.6"/>
    <row r="265" ht="19.350000000000001" customHeight="1" x14ac:dyDescent="0.6"/>
    <row r="266" ht="19.350000000000001" customHeight="1" x14ac:dyDescent="0.6"/>
    <row r="267" ht="19.350000000000001" customHeight="1" x14ac:dyDescent="0.6"/>
    <row r="268" ht="19.350000000000001" customHeight="1" x14ac:dyDescent="0.6"/>
    <row r="269" ht="19.350000000000001" customHeight="1" x14ac:dyDescent="0.6"/>
    <row r="270" ht="19.350000000000001" customHeight="1" x14ac:dyDescent="0.6"/>
    <row r="271" ht="19.350000000000001" customHeight="1" x14ac:dyDescent="0.6"/>
    <row r="272" ht="19.350000000000001" customHeight="1" x14ac:dyDescent="0.6"/>
    <row r="273" ht="19.350000000000001" customHeight="1" x14ac:dyDescent="0.6"/>
    <row r="274" ht="19.350000000000001" customHeight="1" x14ac:dyDescent="0.6"/>
    <row r="275" ht="19.350000000000001" customHeight="1" x14ac:dyDescent="0.6"/>
    <row r="276" ht="19.350000000000001" customHeight="1" x14ac:dyDescent="0.6"/>
    <row r="277" ht="19.350000000000001" customHeight="1" x14ac:dyDescent="0.6"/>
    <row r="278" ht="19.350000000000001" customHeight="1" x14ac:dyDescent="0.6"/>
    <row r="279" ht="19.350000000000001" customHeight="1" x14ac:dyDescent="0.6"/>
    <row r="280" ht="19.350000000000001" customHeight="1" x14ac:dyDescent="0.6"/>
    <row r="281" ht="19.350000000000001" customHeight="1" x14ac:dyDescent="0.6"/>
    <row r="282" ht="19.350000000000001" customHeight="1" x14ac:dyDescent="0.6"/>
    <row r="283" ht="19.350000000000001" customHeight="1" x14ac:dyDescent="0.6"/>
    <row r="284" ht="19.350000000000001" customHeight="1" x14ac:dyDescent="0.6"/>
    <row r="285" ht="19.350000000000001" customHeight="1" x14ac:dyDescent="0.6"/>
    <row r="286" ht="19.350000000000001" customHeight="1" x14ac:dyDescent="0.6"/>
    <row r="287" ht="19.350000000000001" customHeight="1" x14ac:dyDescent="0.6"/>
    <row r="288" ht="19.350000000000001" customHeight="1" x14ac:dyDescent="0.6"/>
    <row r="289" ht="19.350000000000001" customHeight="1" x14ac:dyDescent="0.6"/>
    <row r="290" ht="19.350000000000001" customHeight="1" x14ac:dyDescent="0.6"/>
    <row r="291" ht="19.350000000000001" customHeight="1" x14ac:dyDescent="0.6"/>
    <row r="292" ht="19.350000000000001" customHeight="1" x14ac:dyDescent="0.6"/>
    <row r="293" ht="19.350000000000001" customHeight="1" x14ac:dyDescent="0.6"/>
    <row r="294" ht="19.350000000000001" customHeight="1" x14ac:dyDescent="0.6"/>
    <row r="295" ht="19.350000000000001" customHeight="1" x14ac:dyDescent="0.6"/>
    <row r="296" ht="19.350000000000001" customHeight="1" x14ac:dyDescent="0.6"/>
    <row r="297" ht="19.350000000000001" customHeight="1" x14ac:dyDescent="0.6"/>
    <row r="298" ht="19.350000000000001" customHeight="1" x14ac:dyDescent="0.6"/>
    <row r="299" ht="19.350000000000001" customHeight="1" x14ac:dyDescent="0.6"/>
    <row r="300" ht="19.350000000000001" customHeight="1" x14ac:dyDescent="0.6"/>
    <row r="301" ht="19.350000000000001" customHeight="1" x14ac:dyDescent="0.6"/>
    <row r="302" ht="19.350000000000001" customHeight="1" x14ac:dyDescent="0.6"/>
    <row r="303" ht="19.350000000000001" customHeight="1" x14ac:dyDescent="0.6"/>
    <row r="304" ht="19.350000000000001" customHeight="1" x14ac:dyDescent="0.6"/>
    <row r="305" ht="19.350000000000001" customHeight="1" x14ac:dyDescent="0.6"/>
    <row r="306" ht="19.350000000000001" customHeight="1" x14ac:dyDescent="0.6"/>
    <row r="307" ht="19.350000000000001" customHeight="1" x14ac:dyDescent="0.6"/>
    <row r="308" ht="19.350000000000001" customHeight="1" x14ac:dyDescent="0.6"/>
    <row r="309" ht="19.350000000000001" customHeight="1" x14ac:dyDescent="0.6"/>
    <row r="310" ht="19.350000000000001" customHeight="1" x14ac:dyDescent="0.6"/>
    <row r="311" ht="19.350000000000001" customHeight="1" x14ac:dyDescent="0.6"/>
    <row r="312" ht="19.350000000000001" customHeight="1" x14ac:dyDescent="0.6"/>
    <row r="313" ht="19.350000000000001" customHeight="1" x14ac:dyDescent="0.6"/>
    <row r="314" ht="19.350000000000001" customHeight="1" x14ac:dyDescent="0.6"/>
    <row r="315" ht="19.350000000000001" customHeight="1" x14ac:dyDescent="0.6"/>
    <row r="316" ht="19.350000000000001" customHeight="1" x14ac:dyDescent="0.6"/>
    <row r="317" ht="19.350000000000001" customHeight="1" x14ac:dyDescent="0.6"/>
    <row r="318" ht="19.350000000000001" customHeight="1" x14ac:dyDescent="0.6"/>
    <row r="319" ht="19.350000000000001" customHeight="1" x14ac:dyDescent="0.6"/>
    <row r="320" ht="19.350000000000001" customHeight="1" x14ac:dyDescent="0.6"/>
    <row r="321" ht="19.350000000000001" customHeight="1" x14ac:dyDescent="0.6"/>
    <row r="322" ht="19.350000000000001" customHeight="1" x14ac:dyDescent="0.6"/>
    <row r="323" ht="19.350000000000001" customHeight="1" x14ac:dyDescent="0.6"/>
    <row r="324" ht="19.350000000000001" customHeight="1" x14ac:dyDescent="0.6"/>
    <row r="325" ht="19.350000000000001" customHeight="1" x14ac:dyDescent="0.6"/>
    <row r="326" ht="19.350000000000001" customHeight="1" x14ac:dyDescent="0.6"/>
    <row r="327" ht="19.350000000000001" customHeight="1" x14ac:dyDescent="0.6"/>
    <row r="328" ht="19.350000000000001" customHeight="1" x14ac:dyDescent="0.6"/>
    <row r="329" ht="19.350000000000001" customHeight="1" x14ac:dyDescent="0.6"/>
    <row r="330" ht="19.350000000000001" customHeight="1" x14ac:dyDescent="0.6"/>
    <row r="331" ht="19.350000000000001" customHeight="1" x14ac:dyDescent="0.6"/>
    <row r="332" ht="19.350000000000001" customHeight="1" x14ac:dyDescent="0.6"/>
    <row r="333" ht="19.350000000000001" customHeight="1" x14ac:dyDescent="0.6"/>
    <row r="334" ht="19.350000000000001" customHeight="1" x14ac:dyDescent="0.6"/>
    <row r="335" ht="19.350000000000001" customHeight="1" x14ac:dyDescent="0.6"/>
    <row r="336" ht="19.350000000000001" customHeight="1" x14ac:dyDescent="0.6"/>
    <row r="337" ht="19.350000000000001" customHeight="1" x14ac:dyDescent="0.6"/>
    <row r="338" ht="19.350000000000001" customHeight="1" x14ac:dyDescent="0.6"/>
    <row r="339" ht="19.350000000000001" customHeight="1" x14ac:dyDescent="0.6"/>
    <row r="340" ht="19.350000000000001" customHeight="1" x14ac:dyDescent="0.6"/>
    <row r="341" ht="19.350000000000001" customHeight="1" x14ac:dyDescent="0.6"/>
    <row r="342" ht="19.350000000000001" customHeight="1" x14ac:dyDescent="0.6"/>
    <row r="343" ht="19.350000000000001" customHeight="1" x14ac:dyDescent="0.6"/>
    <row r="344" ht="19.350000000000001" customHeight="1" x14ac:dyDescent="0.6"/>
    <row r="345" ht="19.350000000000001" customHeight="1" x14ac:dyDescent="0.6"/>
    <row r="346" ht="19.350000000000001" customHeight="1" x14ac:dyDescent="0.6"/>
    <row r="347" ht="19.350000000000001" customHeight="1" x14ac:dyDescent="0.6"/>
    <row r="348" ht="19.350000000000001" customHeight="1" x14ac:dyDescent="0.6"/>
    <row r="349" ht="19.350000000000001" customHeight="1" x14ac:dyDescent="0.6"/>
    <row r="350" ht="19.350000000000001" customHeight="1" x14ac:dyDescent="0.6"/>
    <row r="351" ht="19.350000000000001" customHeight="1" x14ac:dyDescent="0.6"/>
    <row r="352" ht="19.350000000000001" customHeight="1" x14ac:dyDescent="0.6"/>
    <row r="353" ht="19.350000000000001" customHeight="1" x14ac:dyDescent="0.6"/>
    <row r="354" ht="19.350000000000001" customHeight="1" x14ac:dyDescent="0.6"/>
    <row r="355" ht="19.350000000000001" customHeight="1" x14ac:dyDescent="0.6"/>
    <row r="356" ht="19.350000000000001" customHeight="1" x14ac:dyDescent="0.6"/>
    <row r="357" ht="19.350000000000001" customHeight="1" x14ac:dyDescent="0.6"/>
    <row r="358" ht="19.350000000000001" customHeight="1" x14ac:dyDescent="0.6"/>
    <row r="359" ht="19.350000000000001" customHeight="1" x14ac:dyDescent="0.6"/>
    <row r="360" ht="19.350000000000001" customHeight="1" x14ac:dyDescent="0.6"/>
    <row r="361" ht="19.350000000000001" customHeight="1" x14ac:dyDescent="0.6"/>
    <row r="362" ht="19.350000000000001" customHeight="1" x14ac:dyDescent="0.6"/>
    <row r="363" ht="19.350000000000001" customHeight="1" x14ac:dyDescent="0.6"/>
    <row r="364" ht="19.350000000000001" customHeight="1" x14ac:dyDescent="0.6"/>
    <row r="365" ht="19.350000000000001" customHeight="1" x14ac:dyDescent="0.6"/>
    <row r="366" ht="19.350000000000001" customHeight="1" x14ac:dyDescent="0.6"/>
    <row r="367" ht="19.350000000000001" customHeight="1" x14ac:dyDescent="0.6"/>
    <row r="368" ht="19.350000000000001" customHeight="1" x14ac:dyDescent="0.6"/>
    <row r="369" ht="19.350000000000001" customHeight="1" x14ac:dyDescent="0.6"/>
    <row r="370" ht="19.350000000000001" customHeight="1" x14ac:dyDescent="0.6"/>
    <row r="371" ht="19.350000000000001" customHeight="1" x14ac:dyDescent="0.6"/>
    <row r="372" ht="19.350000000000001" customHeight="1" x14ac:dyDescent="0.6"/>
    <row r="373" ht="19.350000000000001" customHeight="1" x14ac:dyDescent="0.6"/>
    <row r="374" ht="19.350000000000001" customHeight="1" x14ac:dyDescent="0.6"/>
    <row r="375" ht="19.350000000000001" customHeight="1" x14ac:dyDescent="0.6"/>
    <row r="376" ht="19.350000000000001" customHeight="1" x14ac:dyDescent="0.6"/>
    <row r="377" ht="19.350000000000001" customHeight="1" x14ac:dyDescent="0.6"/>
    <row r="378" ht="19.350000000000001" customHeight="1" x14ac:dyDescent="0.6"/>
    <row r="379" ht="19.350000000000001" customHeight="1" x14ac:dyDescent="0.6"/>
    <row r="380" ht="19.350000000000001" customHeight="1" x14ac:dyDescent="0.6"/>
    <row r="381" ht="19.350000000000001" customHeight="1" x14ac:dyDescent="0.6"/>
    <row r="382" ht="19.350000000000001" customHeight="1" x14ac:dyDescent="0.6"/>
    <row r="383" ht="19.350000000000001" customHeight="1" x14ac:dyDescent="0.6"/>
    <row r="384" ht="19.350000000000001" customHeight="1" x14ac:dyDescent="0.6"/>
    <row r="385" ht="19.350000000000001" customHeight="1" x14ac:dyDescent="0.6"/>
    <row r="386" ht="19.350000000000001" customHeight="1" x14ac:dyDescent="0.6"/>
    <row r="387" ht="19.350000000000001" customHeight="1" x14ac:dyDescent="0.6"/>
    <row r="388" ht="19.350000000000001" customHeight="1" x14ac:dyDescent="0.6"/>
    <row r="389" ht="19.350000000000001" customHeight="1" x14ac:dyDescent="0.6"/>
    <row r="390" ht="19.350000000000001" customHeight="1" x14ac:dyDescent="0.6"/>
    <row r="391" ht="19.350000000000001" customHeight="1" x14ac:dyDescent="0.6"/>
    <row r="392" ht="19.350000000000001" customHeight="1" x14ac:dyDescent="0.6"/>
    <row r="393" ht="19.350000000000001" customHeight="1" x14ac:dyDescent="0.6"/>
    <row r="394" ht="19.350000000000001" customHeight="1" x14ac:dyDescent="0.6"/>
    <row r="395" ht="19.350000000000001" customHeight="1" x14ac:dyDescent="0.6"/>
    <row r="396" ht="19.350000000000001" customHeight="1" x14ac:dyDescent="0.6"/>
    <row r="397" ht="19.350000000000001" customHeight="1" x14ac:dyDescent="0.6"/>
    <row r="398" ht="19.350000000000001" customHeight="1" x14ac:dyDescent="0.6"/>
    <row r="399" ht="19.350000000000001" customHeight="1" x14ac:dyDescent="0.6"/>
    <row r="400" ht="19.350000000000001" customHeight="1" x14ac:dyDescent="0.6"/>
    <row r="401" ht="19.350000000000001" customHeight="1" x14ac:dyDescent="0.6"/>
    <row r="402" ht="19.350000000000001" customHeight="1" x14ac:dyDescent="0.6"/>
    <row r="403" ht="19.350000000000001" customHeight="1" x14ac:dyDescent="0.6"/>
    <row r="404" ht="19.350000000000001" customHeight="1" x14ac:dyDescent="0.6"/>
    <row r="405" ht="19.350000000000001" customHeight="1" x14ac:dyDescent="0.6"/>
    <row r="406" ht="19.350000000000001" customHeight="1" x14ac:dyDescent="0.6"/>
    <row r="407" ht="19.350000000000001" customHeight="1" x14ac:dyDescent="0.6"/>
    <row r="408" ht="19.350000000000001" customHeight="1" x14ac:dyDescent="0.6"/>
    <row r="409" ht="19.350000000000001" customHeight="1" x14ac:dyDescent="0.6"/>
    <row r="410" ht="19.350000000000001" customHeight="1" x14ac:dyDescent="0.6"/>
    <row r="411" ht="19.350000000000001" customHeight="1" x14ac:dyDescent="0.6"/>
    <row r="412" ht="19.350000000000001" customHeight="1" x14ac:dyDescent="0.6"/>
    <row r="413" ht="19.350000000000001" customHeight="1" x14ac:dyDescent="0.6"/>
    <row r="414" ht="19.350000000000001" customHeight="1" x14ac:dyDescent="0.6"/>
    <row r="415" ht="19.350000000000001" customHeight="1" x14ac:dyDescent="0.6"/>
    <row r="416" ht="19.350000000000001" customHeight="1" x14ac:dyDescent="0.6"/>
    <row r="417" ht="19.350000000000001" customHeight="1" x14ac:dyDescent="0.6"/>
    <row r="418" ht="19.350000000000001" customHeight="1" x14ac:dyDescent="0.6"/>
    <row r="419" ht="19.350000000000001" customHeight="1" x14ac:dyDescent="0.6"/>
    <row r="420" ht="19.350000000000001" customHeight="1" x14ac:dyDescent="0.6"/>
    <row r="421" ht="19.350000000000001" customHeight="1" x14ac:dyDescent="0.6"/>
    <row r="422" ht="19.350000000000001" customHeight="1" x14ac:dyDescent="0.6"/>
    <row r="423" ht="19.350000000000001" customHeight="1" x14ac:dyDescent="0.6"/>
    <row r="424" ht="19.350000000000001" customHeight="1" x14ac:dyDescent="0.6"/>
    <row r="425" ht="19.350000000000001" customHeight="1" x14ac:dyDescent="0.6"/>
    <row r="426" ht="19.350000000000001" customHeight="1" x14ac:dyDescent="0.6"/>
    <row r="427" ht="19.350000000000001" customHeight="1" x14ac:dyDescent="0.6"/>
    <row r="428" ht="19.350000000000001" customHeight="1" x14ac:dyDescent="0.6"/>
    <row r="429" ht="19.350000000000001" customHeight="1" x14ac:dyDescent="0.6"/>
    <row r="430" ht="19.350000000000001" customHeight="1" x14ac:dyDescent="0.6"/>
    <row r="431" ht="19.350000000000001" customHeight="1" x14ac:dyDescent="0.6"/>
    <row r="432" ht="19.350000000000001" customHeight="1" x14ac:dyDescent="0.6"/>
    <row r="433" ht="19.350000000000001" customHeight="1" x14ac:dyDescent="0.6"/>
    <row r="434" ht="19.350000000000001" customHeight="1" x14ac:dyDescent="0.6"/>
    <row r="435" ht="19.350000000000001" customHeight="1" x14ac:dyDescent="0.6"/>
    <row r="436" ht="19.350000000000001" customHeight="1" x14ac:dyDescent="0.6"/>
    <row r="437" ht="19.350000000000001" customHeight="1" x14ac:dyDescent="0.6"/>
    <row r="438" ht="19.350000000000001" customHeight="1" x14ac:dyDescent="0.6"/>
    <row r="439" ht="19.350000000000001" customHeight="1" x14ac:dyDescent="0.6"/>
    <row r="440" ht="19.350000000000001" customHeight="1" x14ac:dyDescent="0.6"/>
    <row r="441" ht="19.350000000000001" customHeight="1" x14ac:dyDescent="0.6"/>
    <row r="442" ht="19.350000000000001" customHeight="1" x14ac:dyDescent="0.6"/>
    <row r="443" ht="19.350000000000001" customHeight="1" x14ac:dyDescent="0.6"/>
    <row r="444" ht="19.350000000000001" customHeight="1" x14ac:dyDescent="0.6"/>
    <row r="445" ht="19.350000000000001" customHeight="1" x14ac:dyDescent="0.6"/>
    <row r="446" ht="19.350000000000001" customHeight="1" x14ac:dyDescent="0.6"/>
    <row r="447" ht="19.350000000000001" customHeight="1" x14ac:dyDescent="0.6"/>
    <row r="448" ht="19.350000000000001" customHeight="1" x14ac:dyDescent="0.6"/>
    <row r="449" ht="19.350000000000001" customHeight="1" x14ac:dyDescent="0.6"/>
    <row r="450" ht="19.350000000000001" customHeight="1" x14ac:dyDescent="0.6"/>
    <row r="451" ht="19.350000000000001" customHeight="1" x14ac:dyDescent="0.6"/>
    <row r="452" ht="19.350000000000001" customHeight="1" x14ac:dyDescent="0.6"/>
    <row r="453" ht="19.350000000000001" customHeight="1" x14ac:dyDescent="0.6"/>
    <row r="454" ht="19.350000000000001" customHeight="1" x14ac:dyDescent="0.6"/>
    <row r="455" ht="19.350000000000001" customHeight="1" x14ac:dyDescent="0.6"/>
    <row r="456" ht="19.350000000000001" customHeight="1" x14ac:dyDescent="0.6"/>
    <row r="457" ht="19.350000000000001" customHeight="1" x14ac:dyDescent="0.6"/>
    <row r="458" ht="19.350000000000001" customHeight="1" x14ac:dyDescent="0.6"/>
    <row r="459" ht="19.350000000000001" customHeight="1" x14ac:dyDescent="0.6"/>
    <row r="460" ht="19.350000000000001" customHeight="1" x14ac:dyDescent="0.6"/>
    <row r="461" ht="19.350000000000001" customHeight="1" x14ac:dyDescent="0.6"/>
    <row r="462" ht="19.350000000000001" customHeight="1" x14ac:dyDescent="0.6"/>
    <row r="463" ht="19.350000000000001" customHeight="1" x14ac:dyDescent="0.6"/>
    <row r="464" ht="19.350000000000001" customHeight="1" x14ac:dyDescent="0.6"/>
    <row r="465" ht="19.350000000000001" customHeight="1" x14ac:dyDescent="0.6"/>
    <row r="466" ht="19.350000000000001" customHeight="1" x14ac:dyDescent="0.6"/>
    <row r="467" ht="19.350000000000001" customHeight="1" x14ac:dyDescent="0.6"/>
    <row r="468" ht="19.350000000000001" customHeight="1" x14ac:dyDescent="0.6"/>
    <row r="469" ht="19.350000000000001" customHeight="1" x14ac:dyDescent="0.6"/>
    <row r="470" ht="19.350000000000001" customHeight="1" x14ac:dyDescent="0.6"/>
    <row r="471" ht="19.350000000000001" customHeight="1" x14ac:dyDescent="0.6"/>
    <row r="472" ht="19.350000000000001" customHeight="1" x14ac:dyDescent="0.6"/>
    <row r="473" ht="19.350000000000001" customHeight="1" x14ac:dyDescent="0.6"/>
    <row r="474" ht="19.350000000000001" customHeight="1" x14ac:dyDescent="0.6"/>
    <row r="475" ht="19.350000000000001" customHeight="1" x14ac:dyDescent="0.6"/>
    <row r="476" ht="19.350000000000001" customHeight="1" x14ac:dyDescent="0.6"/>
    <row r="477" ht="19.350000000000001" customHeight="1" x14ac:dyDescent="0.6"/>
    <row r="478" ht="19.350000000000001" customHeight="1" x14ac:dyDescent="0.6"/>
    <row r="479" ht="19.350000000000001" customHeight="1" x14ac:dyDescent="0.6"/>
    <row r="480" ht="19.350000000000001" customHeight="1" x14ac:dyDescent="0.6"/>
    <row r="481" ht="19.350000000000001" customHeight="1" x14ac:dyDescent="0.6"/>
    <row r="482" ht="19.350000000000001" customHeight="1" x14ac:dyDescent="0.6"/>
    <row r="483" ht="19.350000000000001" customHeight="1" x14ac:dyDescent="0.6"/>
    <row r="484" ht="19.350000000000001" customHeight="1" x14ac:dyDescent="0.6"/>
    <row r="485" ht="19.350000000000001" customHeight="1" x14ac:dyDescent="0.6"/>
    <row r="486" ht="19.350000000000001" customHeight="1" x14ac:dyDescent="0.6"/>
    <row r="487" ht="19.350000000000001" customHeight="1" x14ac:dyDescent="0.6"/>
    <row r="488" ht="19.350000000000001" customHeight="1" x14ac:dyDescent="0.6"/>
    <row r="489" ht="19.350000000000001" customHeight="1" x14ac:dyDescent="0.6"/>
    <row r="490" ht="19.350000000000001" customHeight="1" x14ac:dyDescent="0.6"/>
    <row r="491" ht="19.350000000000001" customHeight="1" x14ac:dyDescent="0.6"/>
    <row r="492" ht="19.350000000000001" customHeight="1" x14ac:dyDescent="0.6"/>
    <row r="493" ht="19.350000000000001" customHeight="1" x14ac:dyDescent="0.6"/>
    <row r="494" ht="19.350000000000001" customHeight="1" x14ac:dyDescent="0.6"/>
    <row r="495" ht="19.350000000000001" customHeight="1" x14ac:dyDescent="0.6"/>
    <row r="496" ht="19.350000000000001" customHeight="1" x14ac:dyDescent="0.6"/>
    <row r="497" ht="19.350000000000001" customHeight="1" x14ac:dyDescent="0.6"/>
    <row r="498" ht="19.350000000000001" customHeight="1" x14ac:dyDescent="0.6"/>
    <row r="499" ht="19.350000000000001" customHeight="1" x14ac:dyDescent="0.6"/>
    <row r="500" ht="19.350000000000001" customHeight="1" x14ac:dyDescent="0.6"/>
    <row r="501" ht="19.350000000000001" customHeight="1" x14ac:dyDescent="0.6"/>
    <row r="502" ht="19.350000000000001" customHeight="1" x14ac:dyDescent="0.6"/>
    <row r="503" ht="19.350000000000001" customHeight="1" x14ac:dyDescent="0.6"/>
    <row r="504" ht="19.350000000000001" customHeight="1" x14ac:dyDescent="0.6"/>
    <row r="505" ht="19.350000000000001" customHeight="1" x14ac:dyDescent="0.6"/>
    <row r="506" ht="19.350000000000001" customHeight="1" x14ac:dyDescent="0.6"/>
    <row r="507" ht="19.350000000000001" customHeight="1" x14ac:dyDescent="0.6"/>
    <row r="508" ht="19.350000000000001" customHeight="1" x14ac:dyDescent="0.6"/>
    <row r="509" ht="19.350000000000001" customHeight="1" x14ac:dyDescent="0.6"/>
    <row r="510" ht="19.350000000000001" customHeight="1" x14ac:dyDescent="0.6"/>
    <row r="511" ht="19.350000000000001" customHeight="1" x14ac:dyDescent="0.6"/>
    <row r="512" ht="19.350000000000001" customHeight="1" x14ac:dyDescent="0.6"/>
    <row r="513" ht="19.350000000000001" customHeight="1" x14ac:dyDescent="0.6"/>
    <row r="514" ht="19.350000000000001" customHeight="1" x14ac:dyDescent="0.6"/>
    <row r="515" ht="19.350000000000001" customHeight="1" x14ac:dyDescent="0.6"/>
    <row r="516" ht="19.350000000000001" customHeight="1" x14ac:dyDescent="0.6"/>
    <row r="517" ht="19.350000000000001" customHeight="1" x14ac:dyDescent="0.6"/>
    <row r="518" ht="19.350000000000001" customHeight="1" x14ac:dyDescent="0.6"/>
    <row r="519" ht="19.350000000000001" customHeight="1" x14ac:dyDescent="0.6"/>
    <row r="520" ht="19.350000000000001" customHeight="1" x14ac:dyDescent="0.6"/>
    <row r="521" ht="19.350000000000001" customHeight="1" x14ac:dyDescent="0.6"/>
    <row r="522" ht="19.350000000000001" customHeight="1" x14ac:dyDescent="0.6"/>
    <row r="523" ht="19.350000000000001" customHeight="1" x14ac:dyDescent="0.6"/>
    <row r="524" ht="19.350000000000001" customHeight="1" x14ac:dyDescent="0.6"/>
    <row r="525" ht="19.350000000000001" customHeight="1" x14ac:dyDescent="0.6"/>
    <row r="526" ht="19.350000000000001" customHeight="1" x14ac:dyDescent="0.6"/>
    <row r="527" ht="19.350000000000001" customHeight="1" x14ac:dyDescent="0.6"/>
    <row r="528" ht="19.350000000000001" customHeight="1" x14ac:dyDescent="0.6"/>
    <row r="529" ht="19.350000000000001" customHeight="1" x14ac:dyDescent="0.6"/>
    <row r="530" ht="19.350000000000001" customHeight="1" x14ac:dyDescent="0.6"/>
    <row r="531" ht="19.350000000000001" customHeight="1" x14ac:dyDescent="0.6"/>
    <row r="532" ht="19.350000000000001" customHeight="1" x14ac:dyDescent="0.6"/>
    <row r="533" ht="19.350000000000001" customHeight="1" x14ac:dyDescent="0.6"/>
    <row r="534" ht="19.350000000000001" customHeight="1" x14ac:dyDescent="0.6"/>
    <row r="535" ht="19.350000000000001" customHeight="1" x14ac:dyDescent="0.6"/>
    <row r="536" ht="19.350000000000001" customHeight="1" x14ac:dyDescent="0.6"/>
    <row r="537" ht="19.350000000000001" customHeight="1" x14ac:dyDescent="0.6"/>
    <row r="538" ht="19.350000000000001" customHeight="1" x14ac:dyDescent="0.6"/>
    <row r="539" ht="19.350000000000001" customHeight="1" x14ac:dyDescent="0.6"/>
    <row r="540" ht="19.350000000000001" customHeight="1" x14ac:dyDescent="0.6"/>
    <row r="541" ht="19.350000000000001" customHeight="1" x14ac:dyDescent="0.6"/>
    <row r="542" ht="19.350000000000001" customHeight="1" x14ac:dyDescent="0.6"/>
    <row r="543" ht="19.350000000000001" customHeight="1" x14ac:dyDescent="0.6"/>
    <row r="544" ht="19.350000000000001" customHeight="1" x14ac:dyDescent="0.6"/>
    <row r="545" ht="19.350000000000001" customHeight="1" x14ac:dyDescent="0.6"/>
    <row r="546" ht="19.350000000000001" customHeight="1" x14ac:dyDescent="0.6"/>
    <row r="547" ht="19.350000000000001" customHeight="1" x14ac:dyDescent="0.6"/>
    <row r="548" ht="19.350000000000001" customHeight="1" x14ac:dyDescent="0.6"/>
    <row r="549" ht="19.350000000000001" customHeight="1" x14ac:dyDescent="0.6"/>
    <row r="550" ht="19.350000000000001" customHeight="1" x14ac:dyDescent="0.6"/>
    <row r="551" ht="19.350000000000001" customHeight="1" x14ac:dyDescent="0.6"/>
    <row r="552" ht="19.350000000000001" customHeight="1" x14ac:dyDescent="0.6"/>
    <row r="553" ht="19.350000000000001" customHeight="1" x14ac:dyDescent="0.6"/>
    <row r="554" ht="19.350000000000001" customHeight="1" x14ac:dyDescent="0.6"/>
    <row r="555" ht="19.350000000000001" customHeight="1" x14ac:dyDescent="0.6"/>
    <row r="556" ht="19.350000000000001" customHeight="1" x14ac:dyDescent="0.6"/>
    <row r="557" ht="19.350000000000001" customHeight="1" x14ac:dyDescent="0.6"/>
    <row r="558" ht="19.350000000000001" customHeight="1" x14ac:dyDescent="0.6"/>
    <row r="559" ht="19.350000000000001" customHeight="1" x14ac:dyDescent="0.6"/>
    <row r="560" ht="19.350000000000001" customHeight="1" x14ac:dyDescent="0.6"/>
    <row r="561" ht="19.350000000000001" customHeight="1" x14ac:dyDescent="0.6"/>
    <row r="562" ht="19.350000000000001" customHeight="1" x14ac:dyDescent="0.6"/>
    <row r="563" ht="19.350000000000001" customHeight="1" x14ac:dyDescent="0.6"/>
    <row r="564" ht="19.350000000000001" customHeight="1" x14ac:dyDescent="0.6"/>
    <row r="565" ht="19.350000000000001" customHeight="1" x14ac:dyDescent="0.6"/>
    <row r="566" ht="19.350000000000001" customHeight="1" x14ac:dyDescent="0.6"/>
    <row r="567" ht="19.350000000000001" customHeight="1" x14ac:dyDescent="0.6"/>
    <row r="568" ht="19.350000000000001" customHeight="1" x14ac:dyDescent="0.6"/>
    <row r="569" ht="19.350000000000001" customHeight="1" x14ac:dyDescent="0.6"/>
    <row r="570" ht="19.350000000000001" customHeight="1" x14ac:dyDescent="0.6"/>
    <row r="571" ht="19.350000000000001" customHeight="1" x14ac:dyDescent="0.6"/>
    <row r="572" ht="19.350000000000001" customHeight="1" x14ac:dyDescent="0.6"/>
    <row r="573" ht="19.350000000000001" customHeight="1" x14ac:dyDescent="0.6"/>
    <row r="574" ht="19.350000000000001" customHeight="1" x14ac:dyDescent="0.6"/>
    <row r="575" ht="19.350000000000001" customHeight="1" x14ac:dyDescent="0.6"/>
    <row r="576" ht="19.350000000000001" customHeight="1" x14ac:dyDescent="0.6"/>
    <row r="577" ht="19.350000000000001" customHeight="1" x14ac:dyDescent="0.6"/>
    <row r="578" ht="19.350000000000001" customHeight="1" x14ac:dyDescent="0.6"/>
    <row r="579" ht="19.350000000000001" customHeight="1" x14ac:dyDescent="0.6"/>
    <row r="580" ht="19.350000000000001" customHeight="1" x14ac:dyDescent="0.6"/>
    <row r="581" ht="19.350000000000001" customHeight="1" x14ac:dyDescent="0.6"/>
    <row r="582" ht="19.350000000000001" customHeight="1" x14ac:dyDescent="0.6"/>
    <row r="583" ht="19.350000000000001" customHeight="1" x14ac:dyDescent="0.6"/>
    <row r="584" ht="19.350000000000001" customHeight="1" x14ac:dyDescent="0.6"/>
    <row r="585" ht="19.350000000000001" customHeight="1" x14ac:dyDescent="0.6"/>
    <row r="586" ht="19.350000000000001" customHeight="1" x14ac:dyDescent="0.6"/>
    <row r="587" ht="19.350000000000001" customHeight="1" x14ac:dyDescent="0.6"/>
    <row r="588" ht="19.350000000000001" customHeight="1" x14ac:dyDescent="0.6"/>
    <row r="589" ht="19.350000000000001" customHeight="1" x14ac:dyDescent="0.6"/>
    <row r="590" ht="19.350000000000001" customHeight="1" x14ac:dyDescent="0.6"/>
    <row r="591" ht="19.350000000000001" customHeight="1" x14ac:dyDescent="0.6"/>
    <row r="592" ht="19.350000000000001" customHeight="1" x14ac:dyDescent="0.6"/>
    <row r="593" ht="19.350000000000001" customHeight="1" x14ac:dyDescent="0.6"/>
    <row r="594" ht="19.350000000000001" customHeight="1" x14ac:dyDescent="0.6"/>
    <row r="595" ht="19.350000000000001" customHeight="1" x14ac:dyDescent="0.6"/>
    <row r="596" ht="19.350000000000001" customHeight="1" x14ac:dyDescent="0.6"/>
    <row r="597" ht="19.350000000000001" customHeight="1" x14ac:dyDescent="0.6"/>
    <row r="598" ht="19.350000000000001" customHeight="1" x14ac:dyDescent="0.6"/>
    <row r="599" ht="19.350000000000001" customHeight="1" x14ac:dyDescent="0.6"/>
    <row r="600" ht="19.350000000000001" customHeight="1" x14ac:dyDescent="0.6"/>
    <row r="601" ht="19.350000000000001" customHeight="1" x14ac:dyDescent="0.6"/>
    <row r="602" ht="19.350000000000001" customHeight="1" x14ac:dyDescent="0.6"/>
    <row r="603" ht="19.350000000000001" customHeight="1" x14ac:dyDescent="0.6"/>
    <row r="604" ht="19.350000000000001" customHeight="1" x14ac:dyDescent="0.6"/>
    <row r="605" ht="19.350000000000001" customHeight="1" x14ac:dyDescent="0.6"/>
    <row r="606" ht="19.350000000000001" customHeight="1" x14ac:dyDescent="0.6"/>
    <row r="607" ht="19.350000000000001" customHeight="1" x14ac:dyDescent="0.6"/>
    <row r="608" ht="19.350000000000001" customHeight="1" x14ac:dyDescent="0.6"/>
    <row r="609" ht="19.350000000000001" customHeight="1" x14ac:dyDescent="0.6"/>
    <row r="610" ht="19.350000000000001" customHeight="1" x14ac:dyDescent="0.6"/>
    <row r="611" ht="19.350000000000001" customHeight="1" x14ac:dyDescent="0.6"/>
    <row r="612" ht="19.350000000000001" customHeight="1" x14ac:dyDescent="0.6"/>
    <row r="613" ht="19.350000000000001" customHeight="1" x14ac:dyDescent="0.6"/>
    <row r="614" ht="19.350000000000001" customHeight="1" x14ac:dyDescent="0.6"/>
    <row r="615" ht="19.350000000000001" customHeight="1" x14ac:dyDescent="0.6"/>
    <row r="616" ht="19.350000000000001" customHeight="1" x14ac:dyDescent="0.6"/>
    <row r="617" ht="19.350000000000001" customHeight="1" x14ac:dyDescent="0.6"/>
    <row r="618" ht="19.350000000000001" customHeight="1" x14ac:dyDescent="0.6"/>
    <row r="619" ht="19.350000000000001" customHeight="1" x14ac:dyDescent="0.6"/>
    <row r="620" ht="19.350000000000001" customHeight="1" x14ac:dyDescent="0.6"/>
    <row r="621" ht="19.350000000000001" customHeight="1" x14ac:dyDescent="0.6"/>
    <row r="622" ht="19.350000000000001" customHeight="1" x14ac:dyDescent="0.6"/>
    <row r="623" ht="19.350000000000001" customHeight="1" x14ac:dyDescent="0.6"/>
    <row r="624" ht="19.350000000000001" customHeight="1" x14ac:dyDescent="0.6"/>
    <row r="625" ht="19.350000000000001" customHeight="1" x14ac:dyDescent="0.6"/>
    <row r="626" ht="19.350000000000001" customHeight="1" x14ac:dyDescent="0.6"/>
    <row r="627" ht="19.350000000000001" customHeight="1" x14ac:dyDescent="0.6"/>
    <row r="628" ht="19.350000000000001" customHeight="1" x14ac:dyDescent="0.6"/>
    <row r="629" ht="19.350000000000001" customHeight="1" x14ac:dyDescent="0.6"/>
    <row r="630" ht="19.350000000000001" customHeight="1" x14ac:dyDescent="0.6"/>
    <row r="631" ht="19.350000000000001" customHeight="1" x14ac:dyDescent="0.6"/>
    <row r="632" ht="19.350000000000001" customHeight="1" x14ac:dyDescent="0.6"/>
    <row r="633" ht="19.350000000000001" customHeight="1" x14ac:dyDescent="0.6"/>
    <row r="634" ht="19.350000000000001" customHeight="1" x14ac:dyDescent="0.6"/>
    <row r="635" ht="19.350000000000001" customHeight="1" x14ac:dyDescent="0.6"/>
    <row r="636" ht="19.350000000000001" customHeight="1" x14ac:dyDescent="0.6"/>
    <row r="637" ht="19.350000000000001" customHeight="1" x14ac:dyDescent="0.6"/>
    <row r="638" ht="19.350000000000001" customHeight="1" x14ac:dyDescent="0.6"/>
    <row r="639" ht="19.350000000000001" customHeight="1" x14ac:dyDescent="0.6"/>
    <row r="640" ht="19.350000000000001" customHeight="1" x14ac:dyDescent="0.6"/>
    <row r="641" ht="19.350000000000001" customHeight="1" x14ac:dyDescent="0.6"/>
    <row r="642" ht="19.350000000000001" customHeight="1" x14ac:dyDescent="0.6"/>
    <row r="643" ht="19.350000000000001" customHeight="1" x14ac:dyDescent="0.6"/>
    <row r="644" ht="19.350000000000001" customHeight="1" x14ac:dyDescent="0.6"/>
    <row r="645" ht="19.350000000000001" customHeight="1" x14ac:dyDescent="0.6"/>
    <row r="646" ht="19.350000000000001" customHeight="1" x14ac:dyDescent="0.6"/>
    <row r="647" ht="19.350000000000001" customHeight="1" x14ac:dyDescent="0.6"/>
    <row r="648" ht="19.350000000000001" customHeight="1" x14ac:dyDescent="0.6"/>
    <row r="649" ht="19.350000000000001" customHeight="1" x14ac:dyDescent="0.6"/>
    <row r="650" ht="19.350000000000001" customHeight="1" x14ac:dyDescent="0.6"/>
    <row r="651" ht="19.350000000000001" customHeight="1" x14ac:dyDescent="0.6"/>
    <row r="652" ht="19.350000000000001" customHeight="1" x14ac:dyDescent="0.6"/>
    <row r="653" ht="19.350000000000001" customHeight="1" x14ac:dyDescent="0.6"/>
    <row r="654" ht="19.350000000000001" customHeight="1" x14ac:dyDescent="0.6"/>
    <row r="655" ht="19.350000000000001" customHeight="1" x14ac:dyDescent="0.6"/>
    <row r="656" ht="19.350000000000001" customHeight="1" x14ac:dyDescent="0.6"/>
    <row r="657" ht="19.350000000000001" customHeight="1" x14ac:dyDescent="0.6"/>
    <row r="658" ht="19.350000000000001" customHeight="1" x14ac:dyDescent="0.6"/>
    <row r="659" ht="19.350000000000001" customHeight="1" x14ac:dyDescent="0.6"/>
    <row r="660" ht="19.350000000000001" customHeight="1" x14ac:dyDescent="0.6"/>
    <row r="661" ht="19.350000000000001" customHeight="1" x14ac:dyDescent="0.6"/>
    <row r="662" ht="19.350000000000001" customHeight="1" x14ac:dyDescent="0.6"/>
    <row r="663" ht="19.350000000000001" customHeight="1" x14ac:dyDescent="0.6"/>
    <row r="664" ht="19.350000000000001" customHeight="1" x14ac:dyDescent="0.6"/>
    <row r="665" ht="19.350000000000001" customHeight="1" x14ac:dyDescent="0.6"/>
    <row r="666" ht="19.350000000000001" customHeight="1" x14ac:dyDescent="0.6"/>
    <row r="667" ht="19.350000000000001" customHeight="1" x14ac:dyDescent="0.6"/>
    <row r="668" ht="19.350000000000001" customHeight="1" x14ac:dyDescent="0.6"/>
    <row r="669" ht="19.350000000000001" customHeight="1" x14ac:dyDescent="0.6"/>
    <row r="670" ht="19.350000000000001" customHeight="1" x14ac:dyDescent="0.6"/>
    <row r="671" ht="19.350000000000001" customHeight="1" x14ac:dyDescent="0.6"/>
    <row r="672" ht="19.350000000000001" customHeight="1" x14ac:dyDescent="0.6"/>
    <row r="673" ht="19.350000000000001" customHeight="1" x14ac:dyDescent="0.6"/>
    <row r="674" ht="19.350000000000001" customHeight="1" x14ac:dyDescent="0.6"/>
    <row r="675" ht="19.350000000000001" customHeight="1" x14ac:dyDescent="0.6"/>
    <row r="676" ht="19.350000000000001" customHeight="1" x14ac:dyDescent="0.6"/>
    <row r="677" ht="19.350000000000001" customHeight="1" x14ac:dyDescent="0.6"/>
    <row r="678" ht="19.350000000000001" customHeight="1" x14ac:dyDescent="0.6"/>
    <row r="679" ht="19.350000000000001" customHeight="1" x14ac:dyDescent="0.6"/>
    <row r="680" ht="19.350000000000001" customHeight="1" x14ac:dyDescent="0.6"/>
    <row r="681" ht="19.350000000000001" customHeight="1" x14ac:dyDescent="0.6"/>
    <row r="682" ht="19.350000000000001" customHeight="1" x14ac:dyDescent="0.6"/>
    <row r="683" ht="19.350000000000001" customHeight="1" x14ac:dyDescent="0.6"/>
    <row r="684" ht="19.350000000000001" customHeight="1" x14ac:dyDescent="0.6"/>
    <row r="685" ht="19.350000000000001" customHeight="1" x14ac:dyDescent="0.6"/>
    <row r="686" ht="19.350000000000001" customHeight="1" x14ac:dyDescent="0.6"/>
    <row r="687" ht="19.350000000000001" customHeight="1" x14ac:dyDescent="0.6"/>
    <row r="688" ht="19.350000000000001" customHeight="1" x14ac:dyDescent="0.6"/>
    <row r="689" ht="19.350000000000001" customHeight="1" x14ac:dyDescent="0.6"/>
    <row r="690" ht="19.350000000000001" customHeight="1" x14ac:dyDescent="0.6"/>
    <row r="691" ht="19.350000000000001" customHeight="1" x14ac:dyDescent="0.6"/>
    <row r="692" ht="19.350000000000001" customHeight="1" x14ac:dyDescent="0.6"/>
    <row r="693" ht="19.350000000000001" customHeight="1" x14ac:dyDescent="0.6"/>
    <row r="694" ht="19.350000000000001" customHeight="1" x14ac:dyDescent="0.6"/>
    <row r="695" ht="19.350000000000001" customHeight="1" x14ac:dyDescent="0.6"/>
    <row r="696" ht="19.350000000000001" customHeight="1" x14ac:dyDescent="0.6"/>
    <row r="697" ht="19.350000000000001" customHeight="1" x14ac:dyDescent="0.6"/>
    <row r="698" ht="19.350000000000001" customHeight="1" x14ac:dyDescent="0.6"/>
    <row r="699" ht="19.350000000000001" customHeight="1" x14ac:dyDescent="0.6"/>
    <row r="700" ht="19.350000000000001" customHeight="1" x14ac:dyDescent="0.6"/>
    <row r="701" ht="19.350000000000001" customHeight="1" x14ac:dyDescent="0.6"/>
    <row r="702" ht="19.350000000000001" customHeight="1" x14ac:dyDescent="0.6"/>
    <row r="703" ht="19.350000000000001" customHeight="1" x14ac:dyDescent="0.6"/>
    <row r="704" ht="19.350000000000001" customHeight="1" x14ac:dyDescent="0.6"/>
    <row r="705" ht="19.350000000000001" customHeight="1" x14ac:dyDescent="0.6"/>
    <row r="706" ht="19.350000000000001" customHeight="1" x14ac:dyDescent="0.6"/>
    <row r="707" ht="19.350000000000001" customHeight="1" x14ac:dyDescent="0.6"/>
    <row r="708" ht="19.350000000000001" customHeight="1" x14ac:dyDescent="0.6"/>
  </sheetData>
  <sheetProtection formatCells="0" formatColumns="0" formatRows="0" insertColumns="0" insertRows="0" deleteColumns="0" deleteRows="0"/>
  <mergeCells count="2">
    <mergeCell ref="B2:G2"/>
    <mergeCell ref="D4:E4"/>
  </mergeCells>
  <dataValidations count="1">
    <dataValidation type="list" allowBlank="1" showInputMessage="1" showErrorMessage="1" promptTitle="CLIQUE NA SETA E ESCOLHA " sqref="E10" xr:uid="{34AAC9EB-9AA8-8747-89D7-1FB3E78FF8CC}">
      <formula1>"Padrão, Redução 60%, Redução 30%, Isenção"</formula1>
    </dataValidation>
  </dataValidations>
  <pageMargins left="0.75" right="0.75" top="1" bottom="1" header="0.5" footer="0.5"/>
  <pageSetup paperSize="9" orientation="portrait" r:id="rId1"/>
  <ignoredErrors>
    <ignoredError sqref="E12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44"/>
  <sheetViews>
    <sheetView showGridLines="0" showRowColHeaders="0" zoomScaleNormal="100" workbookViewId="0">
      <selection activeCell="E11" sqref="E11"/>
    </sheetView>
  </sheetViews>
  <sheetFormatPr defaultColWidth="8.85546875" defaultRowHeight="30.75" x14ac:dyDescent="0.55000000000000004"/>
  <cols>
    <col min="1" max="1" width="22.85546875" style="6" customWidth="1"/>
    <col min="2" max="3" width="5.42578125" style="6" customWidth="1"/>
    <col min="4" max="4" width="25.28515625" style="6" customWidth="1"/>
    <col min="5" max="8" width="20.42578125" style="6" customWidth="1"/>
    <col min="9" max="10" width="5.42578125" style="6" customWidth="1"/>
    <col min="11" max="11" width="4.85546875" style="6" customWidth="1"/>
    <col min="12" max="14" width="8.85546875" style="6"/>
    <col min="15" max="15" width="13.140625" style="6" bestFit="1" customWidth="1"/>
    <col min="16" max="16" width="20.140625" style="6" bestFit="1" customWidth="1"/>
    <col min="17" max="17" width="20.28515625" style="6" bestFit="1" customWidth="1"/>
    <col min="18" max="18" width="11.28515625" style="6" customWidth="1"/>
    <col min="19" max="16384" width="8.85546875" style="6"/>
  </cols>
  <sheetData>
    <row r="1" spans="1:11" ht="16.7" customHeight="1" x14ac:dyDescent="0.55000000000000004"/>
    <row r="2" spans="1:11" ht="27" customHeight="1" x14ac:dyDescent="0.55000000000000004">
      <c r="A2" s="14"/>
      <c r="B2" s="85" t="s">
        <v>132</v>
      </c>
      <c r="C2" s="85"/>
      <c r="D2" s="85"/>
      <c r="E2" s="85"/>
      <c r="F2" s="85"/>
      <c r="G2" s="85"/>
      <c r="H2" s="85"/>
      <c r="I2" s="85"/>
      <c r="J2" s="15"/>
      <c r="K2" s="14"/>
    </row>
    <row r="3" spans="1:11" x14ac:dyDescent="0.55000000000000004">
      <c r="A3" s="14"/>
      <c r="K3" s="14"/>
    </row>
    <row r="4" spans="1:11" ht="24.6" customHeight="1" x14ac:dyDescent="0.55000000000000004">
      <c r="A4" s="14"/>
      <c r="D4" s="84" t="s">
        <v>23</v>
      </c>
      <c r="E4" s="84"/>
      <c r="F4" s="84"/>
      <c r="G4" s="84"/>
      <c r="H4" s="84"/>
      <c r="K4" s="14"/>
    </row>
    <row r="5" spans="1:11" ht="24.6" customHeight="1" x14ac:dyDescent="0.55000000000000004">
      <c r="A5" s="14"/>
      <c r="D5" s="12"/>
      <c r="E5" s="16"/>
      <c r="F5" s="16"/>
      <c r="G5" s="16"/>
      <c r="H5" s="16"/>
      <c r="I5" s="16"/>
      <c r="K5" s="14"/>
    </row>
    <row r="6" spans="1:11" ht="16.7" customHeight="1" x14ac:dyDescent="0.55000000000000004">
      <c r="A6" s="14"/>
      <c r="C6" s="7"/>
      <c r="D6" s="7"/>
      <c r="E6" s="7"/>
      <c r="F6" s="7"/>
      <c r="G6" s="7"/>
      <c r="H6" s="7"/>
      <c r="I6" s="7"/>
      <c r="K6" s="14"/>
    </row>
    <row r="7" spans="1:11" ht="16.7" customHeight="1" x14ac:dyDescent="0.55000000000000004">
      <c r="A7" s="14"/>
      <c r="C7" s="7"/>
      <c r="D7" s="50" t="s">
        <v>10</v>
      </c>
      <c r="E7" s="7"/>
      <c r="F7" s="7"/>
      <c r="G7" s="7"/>
      <c r="H7" s="7"/>
      <c r="I7" s="7"/>
      <c r="K7" s="14"/>
    </row>
    <row r="8" spans="1:11" ht="16.7" customHeight="1" x14ac:dyDescent="0.55000000000000004">
      <c r="A8" s="14"/>
      <c r="C8" s="7"/>
      <c r="D8" s="50"/>
      <c r="E8" s="45" t="s">
        <v>94</v>
      </c>
      <c r="F8" s="7"/>
      <c r="G8" s="7"/>
      <c r="H8" s="7"/>
      <c r="I8" s="7"/>
      <c r="K8" s="14"/>
    </row>
    <row r="9" spans="1:11" ht="16.7" customHeight="1" x14ac:dyDescent="0.55000000000000004">
      <c r="A9" s="14"/>
      <c r="C9" s="7"/>
      <c r="D9" s="7"/>
      <c r="E9" s="68" t="s">
        <v>93</v>
      </c>
      <c r="F9" s="7"/>
      <c r="G9" s="7"/>
      <c r="H9" s="7"/>
      <c r="I9" s="7"/>
      <c r="K9" s="14"/>
    </row>
    <row r="10" spans="1:11" ht="16.7" customHeight="1" thickBot="1" x14ac:dyDescent="0.6">
      <c r="A10" s="14"/>
      <c r="C10" s="7"/>
      <c r="D10" s="2" t="s">
        <v>108</v>
      </c>
      <c r="E10" s="56">
        <v>10000</v>
      </c>
      <c r="F10" s="2"/>
      <c r="G10" s="7"/>
      <c r="H10" s="7"/>
      <c r="I10" s="7"/>
      <c r="K10" s="14"/>
    </row>
    <row r="11" spans="1:11" ht="16.7" customHeight="1" thickBot="1" x14ac:dyDescent="0.6">
      <c r="A11" s="14"/>
      <c r="C11" s="7"/>
      <c r="D11" s="2" t="s">
        <v>89</v>
      </c>
      <c r="E11" s="40" t="s">
        <v>133</v>
      </c>
      <c r="F11" s="2"/>
      <c r="G11" s="69"/>
      <c r="H11" s="7"/>
      <c r="I11" s="7"/>
      <c r="K11" s="14"/>
    </row>
    <row r="12" spans="1:11" ht="16.7" customHeight="1" thickBot="1" x14ac:dyDescent="0.6">
      <c r="A12" s="14"/>
      <c r="C12" s="7"/>
      <c r="D12" s="2" t="s">
        <v>84</v>
      </c>
      <c r="E12" s="41">
        <v>0.6</v>
      </c>
      <c r="F12" s="2"/>
      <c r="G12" s="2"/>
      <c r="H12" s="7"/>
      <c r="I12" s="7"/>
      <c r="K12" s="14"/>
    </row>
    <row r="13" spans="1:11" ht="16.7" customHeight="1" x14ac:dyDescent="0.55000000000000004">
      <c r="A13" s="14"/>
      <c r="C13" s="7"/>
      <c r="D13" s="2" t="s">
        <v>85</v>
      </c>
      <c r="E13" s="70">
        <f>E10*$E$12*(Configurações!$E$11/100)</f>
        <v>1590</v>
      </c>
      <c r="F13" s="7"/>
      <c r="G13" s="7"/>
      <c r="H13" s="7"/>
      <c r="I13" s="13"/>
      <c r="K13" s="14"/>
    </row>
    <row r="14" spans="1:11" ht="16.7" customHeight="1" x14ac:dyDescent="0.55000000000000004">
      <c r="A14" s="14"/>
      <c r="C14" s="7"/>
      <c r="D14" s="7"/>
      <c r="E14" s="52"/>
      <c r="F14" s="52"/>
      <c r="G14" s="52"/>
      <c r="H14" s="52" t="s">
        <v>68</v>
      </c>
      <c r="I14" s="13"/>
      <c r="K14" s="14"/>
    </row>
    <row r="15" spans="1:11" ht="16.7" customHeight="1" x14ac:dyDescent="0.55000000000000004">
      <c r="A15" s="14"/>
      <c r="C15" s="7"/>
      <c r="D15" s="7"/>
      <c r="E15" s="13" t="s">
        <v>81</v>
      </c>
      <c r="F15" s="13" t="s">
        <v>82</v>
      </c>
      <c r="G15" s="13" t="s">
        <v>83</v>
      </c>
      <c r="H15" s="52" t="s">
        <v>69</v>
      </c>
      <c r="I15" s="17"/>
      <c r="K15" s="14"/>
    </row>
    <row r="16" spans="1:11" ht="16.7" customHeight="1" x14ac:dyDescent="0.55000000000000004">
      <c r="A16" s="14"/>
      <c r="C16" s="7"/>
      <c r="D16" s="2" t="s">
        <v>24</v>
      </c>
      <c r="E16" s="17">
        <f>E10*(Configurações!$E$22/100)</f>
        <v>165</v>
      </c>
      <c r="F16" s="17">
        <f>E10*(Configurações!$E$31/100)</f>
        <v>65</v>
      </c>
      <c r="G16" s="17">
        <f>E10*0.06</f>
        <v>600</v>
      </c>
      <c r="H16" s="17">
        <f>E10*(Configurações!$E$9/100)</f>
        <v>880.00000000000011</v>
      </c>
      <c r="I16" s="17"/>
      <c r="K16" s="14"/>
    </row>
    <row r="17" spans="1:11" ht="16.7" customHeight="1" x14ac:dyDescent="0.55000000000000004">
      <c r="A17" s="14"/>
      <c r="C17" s="7"/>
      <c r="D17" s="2" t="s">
        <v>7</v>
      </c>
      <c r="E17" s="17">
        <f>E10*(Configurações!$E$23/100)</f>
        <v>760</v>
      </c>
      <c r="F17" s="17">
        <f>E10*(Configurações!$E$32/100)</f>
        <v>300</v>
      </c>
      <c r="G17" s="17"/>
      <c r="H17" s="17">
        <f>E10*(Configurações!$E$10/100)</f>
        <v>1770</v>
      </c>
      <c r="I17" s="17"/>
      <c r="K17" s="14"/>
    </row>
    <row r="18" spans="1:11" ht="16.7" customHeight="1" x14ac:dyDescent="0.55000000000000004">
      <c r="A18" s="14"/>
      <c r="C18" s="7"/>
      <c r="D18" s="2" t="s">
        <v>25</v>
      </c>
      <c r="E18" s="17">
        <f>IF(E11="Produto",E10*((Configurações!$E$24/100)+(Configurações!$E$25/100)),E10*(Configurações!$E$26/100))</f>
        <v>2300</v>
      </c>
      <c r="F18" s="17">
        <f>IF(E11="Produto",E10*((Configurações!$E$24/100)+(Configurações!$E$25/100)),E10*(Configurações!$E$26/100))</f>
        <v>2300</v>
      </c>
      <c r="G18" s="2"/>
      <c r="H18" s="17"/>
      <c r="I18" s="17"/>
      <c r="K18" s="14"/>
    </row>
    <row r="19" spans="1:11" ht="16.7" customHeight="1" x14ac:dyDescent="0.55000000000000004">
      <c r="A19" s="14"/>
      <c r="C19" s="7"/>
      <c r="D19" s="2" t="s">
        <v>26</v>
      </c>
      <c r="E19" s="17">
        <f>-E13</f>
        <v>-1590</v>
      </c>
      <c r="F19" s="17">
        <v>0</v>
      </c>
      <c r="G19" s="17">
        <v>0</v>
      </c>
      <c r="H19" s="17">
        <f>-E13</f>
        <v>-1590</v>
      </c>
      <c r="I19" s="2"/>
      <c r="K19" s="14"/>
    </row>
    <row r="20" spans="1:11" ht="16.7" customHeight="1" x14ac:dyDescent="0.55000000000000004">
      <c r="A20" s="14"/>
      <c r="C20" s="7"/>
      <c r="D20" s="2" t="s">
        <v>87</v>
      </c>
      <c r="E20" s="18">
        <f>E16+E17+E18</f>
        <v>3225</v>
      </c>
      <c r="F20" s="18">
        <f t="shared" ref="F20:G20" si="0">F16+F17+F18</f>
        <v>2665</v>
      </c>
      <c r="G20" s="18">
        <f t="shared" si="0"/>
        <v>600</v>
      </c>
      <c r="H20" s="18">
        <f>H16+H17+H18</f>
        <v>2650</v>
      </c>
      <c r="I20" s="18"/>
      <c r="K20" s="14"/>
    </row>
    <row r="21" spans="1:11" ht="16.7" customHeight="1" x14ac:dyDescent="0.55000000000000004">
      <c r="A21" s="14"/>
      <c r="C21" s="7"/>
      <c r="D21" s="2" t="s">
        <v>88</v>
      </c>
      <c r="E21" s="18">
        <f>E16+E17+E18+E19</f>
        <v>1635</v>
      </c>
      <c r="F21" s="18">
        <f>F16+F17+F18+F19</f>
        <v>2665</v>
      </c>
      <c r="G21" s="18">
        <f>G16</f>
        <v>600</v>
      </c>
      <c r="H21" s="18">
        <f>H16+H17+H19</f>
        <v>1060</v>
      </c>
      <c r="I21" s="19"/>
      <c r="K21" s="14"/>
    </row>
    <row r="22" spans="1:11" ht="16.7" customHeight="1" x14ac:dyDescent="0.55000000000000004">
      <c r="A22" s="14"/>
      <c r="C22" s="7"/>
      <c r="D22" s="2" t="s">
        <v>86</v>
      </c>
      <c r="E22" s="19">
        <f>(E20/$E$10)*100</f>
        <v>32.25</v>
      </c>
      <c r="F22" s="19">
        <f t="shared" ref="F22:H22" si="1">(F20/$E$10)*100</f>
        <v>26.650000000000002</v>
      </c>
      <c r="G22" s="19">
        <f t="shared" si="1"/>
        <v>6</v>
      </c>
      <c r="H22" s="19">
        <f t="shared" si="1"/>
        <v>26.5</v>
      </c>
      <c r="I22" s="7"/>
      <c r="K22" s="14"/>
    </row>
    <row r="23" spans="1:11" ht="16.7" customHeight="1" x14ac:dyDescent="0.55000000000000004">
      <c r="A23" s="14"/>
      <c r="C23" s="7"/>
      <c r="D23" s="2" t="s">
        <v>18</v>
      </c>
      <c r="E23" s="19">
        <f>(E21/E10)*100</f>
        <v>16.350000000000001</v>
      </c>
      <c r="F23" s="19">
        <f>(F21/E10)*100</f>
        <v>26.650000000000002</v>
      </c>
      <c r="G23" s="19">
        <f>(G21/E10)*100</f>
        <v>6</v>
      </c>
      <c r="H23" s="19">
        <f>(H21/E10)*100</f>
        <v>10.6</v>
      </c>
      <c r="I23" s="7"/>
      <c r="K23" s="14"/>
    </row>
    <row r="24" spans="1:11" ht="16.7" customHeight="1" x14ac:dyDescent="0.55000000000000004">
      <c r="A24" s="14"/>
      <c r="C24" s="7"/>
      <c r="D24" s="7"/>
      <c r="E24" s="7"/>
      <c r="F24" s="7"/>
      <c r="G24" s="7"/>
      <c r="H24" s="7"/>
      <c r="I24" s="7"/>
      <c r="K24" s="14"/>
    </row>
    <row r="25" spans="1:11" ht="16.7" customHeight="1" x14ac:dyDescent="0.55000000000000004">
      <c r="A25" s="14"/>
      <c r="C25" s="7"/>
      <c r="D25" s="7"/>
      <c r="E25" s="7"/>
      <c r="F25" s="7"/>
      <c r="G25" s="7"/>
      <c r="H25" s="7"/>
      <c r="I25" s="7"/>
      <c r="K25" s="14"/>
    </row>
    <row r="26" spans="1:11" ht="16.7" customHeight="1" x14ac:dyDescent="0.55000000000000004">
      <c r="A26" s="14"/>
      <c r="C26" s="7"/>
      <c r="D26" s="50" t="s">
        <v>27</v>
      </c>
      <c r="E26" s="7"/>
      <c r="F26" s="7"/>
      <c r="G26" s="7"/>
      <c r="H26" s="7"/>
      <c r="I26" s="7"/>
      <c r="K26" s="14"/>
    </row>
    <row r="27" spans="1:11" ht="16.7" customHeight="1" x14ac:dyDescent="0.55000000000000004">
      <c r="A27" s="14"/>
      <c r="C27" s="7"/>
      <c r="D27" s="7"/>
      <c r="E27" s="7"/>
      <c r="F27" s="7"/>
      <c r="G27" s="7"/>
      <c r="H27" s="7"/>
      <c r="I27" s="7"/>
      <c r="K27" s="14"/>
    </row>
    <row r="28" spans="1:11" ht="16.7" customHeight="1" x14ac:dyDescent="0.55000000000000004">
      <c r="A28" s="14"/>
      <c r="C28" s="7"/>
      <c r="D28" s="2" t="s">
        <v>28</v>
      </c>
      <c r="E28" s="71" t="str">
        <f>IF(E21=MIN(E21:H21),"Lucro Real",IF(F21=MIN(E21:H21),"Lucro Presumido",IF(G21=MIN(E21:H21),"Simples Nacional","IBS/CBS")))</f>
        <v>Simples Nacional</v>
      </c>
      <c r="F28" s="7"/>
      <c r="G28" s="7"/>
      <c r="H28" s="7"/>
      <c r="I28" s="7"/>
      <c r="K28" s="14"/>
    </row>
    <row r="29" spans="1:11" ht="16.7" customHeight="1" x14ac:dyDescent="0.55000000000000004">
      <c r="A29" s="14"/>
      <c r="C29" s="7"/>
      <c r="D29" s="2" t="s">
        <v>29</v>
      </c>
      <c r="E29" s="72">
        <f>MAX(E21:H21)-MIN(E21:H21)</f>
        <v>2065</v>
      </c>
      <c r="F29" s="7"/>
      <c r="G29" s="7"/>
      <c r="H29" s="7"/>
      <c r="I29" s="7"/>
      <c r="K29" s="14"/>
    </row>
    <row r="30" spans="1:11" ht="16.7" customHeight="1" x14ac:dyDescent="0.55000000000000004">
      <c r="A30" s="14"/>
      <c r="C30" s="7"/>
      <c r="D30" s="7"/>
      <c r="E30" s="7"/>
      <c r="F30" s="7"/>
      <c r="G30" s="7"/>
      <c r="H30" s="7"/>
      <c r="I30" s="7"/>
      <c r="K30" s="14"/>
    </row>
    <row r="31" spans="1:11" ht="16.7" customHeight="1" x14ac:dyDescent="0.55000000000000004">
      <c r="A31" s="14"/>
      <c r="C31" s="7"/>
      <c r="D31" s="7"/>
      <c r="E31" s="7"/>
      <c r="F31" s="7"/>
      <c r="G31" s="7"/>
      <c r="H31" s="7"/>
      <c r="I31" s="7"/>
      <c r="K31" s="14"/>
    </row>
    <row r="32" spans="1:11" ht="16.7" customHeight="1" x14ac:dyDescent="0.55000000000000004">
      <c r="A32" s="14"/>
      <c r="C32" s="7"/>
      <c r="D32" s="7"/>
      <c r="E32" s="7"/>
      <c r="F32" s="7"/>
      <c r="G32" s="7"/>
      <c r="H32" s="7"/>
      <c r="I32" s="7"/>
      <c r="K32" s="14"/>
    </row>
    <row r="33" spans="1:11" ht="16.7" customHeight="1" x14ac:dyDescent="0.55000000000000004">
      <c r="A33" s="14"/>
      <c r="C33" s="7"/>
      <c r="D33" s="7"/>
      <c r="E33" s="7"/>
      <c r="F33" s="7"/>
      <c r="G33" s="7"/>
      <c r="H33" s="7"/>
      <c r="I33" s="7"/>
      <c r="K33" s="14"/>
    </row>
    <row r="34" spans="1:11" ht="16.7" customHeight="1" x14ac:dyDescent="0.55000000000000004">
      <c r="A34" s="14"/>
      <c r="C34" s="7"/>
      <c r="D34" s="7"/>
      <c r="E34" s="7"/>
      <c r="F34" s="7"/>
      <c r="G34" s="7"/>
      <c r="H34" s="7"/>
      <c r="I34" s="7"/>
      <c r="K34" s="14"/>
    </row>
    <row r="35" spans="1:11" ht="16.7" customHeight="1" x14ac:dyDescent="0.55000000000000004">
      <c r="A35" s="14"/>
      <c r="C35" s="7"/>
      <c r="D35" s="7"/>
      <c r="E35" s="7"/>
      <c r="F35" s="7"/>
      <c r="G35" s="7"/>
      <c r="H35" s="7"/>
      <c r="I35" s="7"/>
      <c r="K35" s="14"/>
    </row>
    <row r="36" spans="1:11" ht="16.7" customHeight="1" x14ac:dyDescent="0.55000000000000004">
      <c r="A36" s="14"/>
      <c r="C36" s="7"/>
      <c r="D36" s="7"/>
      <c r="E36" s="7"/>
      <c r="F36" s="7"/>
      <c r="G36" s="7"/>
      <c r="H36" s="7"/>
      <c r="I36" s="7"/>
      <c r="K36" s="14"/>
    </row>
    <row r="37" spans="1:11" ht="16.7" customHeight="1" x14ac:dyDescent="0.55000000000000004">
      <c r="A37" s="14"/>
      <c r="C37" s="7"/>
      <c r="D37" s="7"/>
      <c r="E37" s="7"/>
      <c r="F37" s="7"/>
      <c r="G37" s="7"/>
      <c r="H37" s="7"/>
      <c r="I37" s="7"/>
      <c r="K37" s="14"/>
    </row>
    <row r="38" spans="1:11" ht="16.7" customHeight="1" x14ac:dyDescent="0.55000000000000004">
      <c r="A38" s="14"/>
      <c r="K38" s="14"/>
    </row>
    <row r="39" spans="1:11" ht="19.350000000000001" customHeight="1" x14ac:dyDescent="0.55000000000000004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</row>
    <row r="40" spans="1:11" ht="16.7" customHeight="1" x14ac:dyDescent="0.55000000000000004"/>
    <row r="41" spans="1:11" ht="16.7" customHeight="1" x14ac:dyDescent="0.55000000000000004"/>
    <row r="42" spans="1:11" ht="16.7" customHeight="1" x14ac:dyDescent="0.55000000000000004"/>
    <row r="43" spans="1:11" ht="16.7" customHeight="1" x14ac:dyDescent="0.55000000000000004"/>
    <row r="44" spans="1:11" ht="16.7" customHeight="1" x14ac:dyDescent="0.55000000000000004"/>
  </sheetData>
  <sheetProtection formatCells="0" formatColumns="0" formatRows="0" insertColumns="0" insertRows="0" deleteColumns="0" deleteRows="0"/>
  <mergeCells count="2">
    <mergeCell ref="B2:I2"/>
    <mergeCell ref="D4:H4"/>
  </mergeCells>
  <dataValidations count="1">
    <dataValidation type="list" allowBlank="1" showInputMessage="1" showErrorMessage="1" sqref="E11" xr:uid="{0AAB5D44-719D-B64E-8F9A-656A305AE75D}">
      <formula1>"PRODUTO, SERVIÇO"</formula1>
    </dataValidation>
  </dataValidations>
  <pageMargins left="0.75" right="0.75" top="1" bottom="1" header="0.5" footer="0.5"/>
  <pageSetup paperSize="9" orientation="portrait" r:id="rId1"/>
  <ignoredErrors>
    <ignoredError sqref="E1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J164"/>
  <sheetViews>
    <sheetView showGridLines="0" showRowColHeaders="0" workbookViewId="0">
      <selection activeCell="D22" sqref="D22"/>
    </sheetView>
  </sheetViews>
  <sheetFormatPr defaultColWidth="8.85546875" defaultRowHeight="30.75" x14ac:dyDescent="0.55000000000000004"/>
  <cols>
    <col min="1" max="1" width="22.85546875" style="6" customWidth="1"/>
    <col min="2" max="3" width="5.42578125" style="6" customWidth="1"/>
    <col min="4" max="4" width="27.85546875" style="6" customWidth="1"/>
    <col min="5" max="5" width="24.42578125" style="6" customWidth="1"/>
    <col min="6" max="7" width="19.42578125" style="6" customWidth="1"/>
    <col min="8" max="10" width="5.42578125" style="6" customWidth="1"/>
    <col min="11" max="16384" width="8.85546875" style="6"/>
  </cols>
  <sheetData>
    <row r="1" spans="1:10" ht="16.7" customHeight="1" x14ac:dyDescent="0.55000000000000004"/>
    <row r="2" spans="1:10" ht="27" customHeight="1" x14ac:dyDescent="0.55000000000000004">
      <c r="A2" s="14"/>
      <c r="B2" s="14"/>
      <c r="C2" s="85" t="s">
        <v>134</v>
      </c>
      <c r="D2" s="85"/>
      <c r="E2" s="85"/>
      <c r="F2" s="85"/>
      <c r="G2" s="85"/>
      <c r="H2" s="85"/>
      <c r="I2" s="14"/>
      <c r="J2" s="14"/>
    </row>
    <row r="3" spans="1:10" ht="29.45" customHeight="1" x14ac:dyDescent="0.55000000000000004">
      <c r="A3" s="14"/>
      <c r="J3" s="14"/>
    </row>
    <row r="4" spans="1:10" ht="24.6" customHeight="1" x14ac:dyDescent="0.55000000000000004">
      <c r="A4" s="14"/>
      <c r="D4" s="84" t="s">
        <v>30</v>
      </c>
      <c r="E4" s="84"/>
      <c r="F4" s="84"/>
      <c r="G4" s="84"/>
      <c r="J4" s="14"/>
    </row>
    <row r="5" spans="1:10" ht="24.6" customHeight="1" x14ac:dyDescent="0.55000000000000004">
      <c r="A5" s="14"/>
      <c r="J5" s="14"/>
    </row>
    <row r="6" spans="1:10" ht="16.7" customHeight="1" x14ac:dyDescent="0.55000000000000004">
      <c r="A6" s="14"/>
      <c r="C6" s="7"/>
      <c r="D6" s="7"/>
      <c r="E6" s="7"/>
      <c r="F6" s="7"/>
      <c r="G6" s="7"/>
      <c r="H6" s="7"/>
      <c r="J6" s="14"/>
    </row>
    <row r="7" spans="1:10" ht="16.7" customHeight="1" x14ac:dyDescent="0.55000000000000004">
      <c r="A7" s="14"/>
      <c r="C7" s="7"/>
      <c r="D7" s="50" t="s">
        <v>31</v>
      </c>
      <c r="E7" s="7"/>
      <c r="F7" s="7"/>
      <c r="G7" s="7"/>
      <c r="H7" s="7"/>
      <c r="J7" s="14"/>
    </row>
    <row r="8" spans="1:10" ht="16.7" customHeight="1" x14ac:dyDescent="0.55000000000000004">
      <c r="A8" s="14"/>
      <c r="C8" s="7"/>
      <c r="D8" s="7"/>
      <c r="E8" s="7"/>
      <c r="F8" s="7"/>
      <c r="G8" s="7"/>
      <c r="H8" s="7"/>
      <c r="J8" s="14"/>
    </row>
    <row r="9" spans="1:10" ht="16.7" customHeight="1" x14ac:dyDescent="0.55000000000000004">
      <c r="A9" s="14"/>
      <c r="C9" s="7"/>
      <c r="D9" s="7"/>
      <c r="E9" s="7"/>
      <c r="F9" s="7"/>
      <c r="G9" s="7"/>
      <c r="H9" s="7"/>
      <c r="J9" s="14"/>
    </row>
    <row r="10" spans="1:10" ht="16.7" customHeight="1" x14ac:dyDescent="0.55000000000000004">
      <c r="A10" s="14"/>
      <c r="C10" s="7"/>
      <c r="D10" s="7"/>
      <c r="E10" s="45" t="s">
        <v>92</v>
      </c>
      <c r="F10" s="7"/>
      <c r="G10" s="7"/>
      <c r="H10" s="7"/>
      <c r="J10" s="14"/>
    </row>
    <row r="11" spans="1:10" ht="21" customHeight="1" thickBot="1" x14ac:dyDescent="0.6">
      <c r="A11" s="14"/>
      <c r="C11" s="7"/>
      <c r="D11" s="58" t="s">
        <v>70</v>
      </c>
      <c r="E11" s="52" t="s">
        <v>95</v>
      </c>
      <c r="F11" s="52" t="s">
        <v>71</v>
      </c>
      <c r="G11" s="52" t="s">
        <v>72</v>
      </c>
      <c r="H11" s="7"/>
      <c r="J11" s="14"/>
    </row>
    <row r="12" spans="1:10" ht="20.25" customHeight="1" thickBot="1" x14ac:dyDescent="0.6">
      <c r="A12" s="14"/>
      <c r="C12" s="7"/>
      <c r="D12" s="2" t="s">
        <v>32</v>
      </c>
      <c r="E12" s="42">
        <v>30000</v>
      </c>
      <c r="F12" s="59">
        <f>E12*0.0925</f>
        <v>2775</v>
      </c>
      <c r="G12" s="60">
        <f>E12*Configurações!$E$11/100</f>
        <v>7950</v>
      </c>
      <c r="H12" s="7"/>
      <c r="J12" s="14"/>
    </row>
    <row r="13" spans="1:10" ht="22.5" customHeight="1" thickBot="1" x14ac:dyDescent="0.6">
      <c r="A13" s="14"/>
      <c r="C13" s="7"/>
      <c r="D13" s="2" t="s">
        <v>33</v>
      </c>
      <c r="E13" s="42">
        <v>3000</v>
      </c>
      <c r="F13" s="61">
        <v>0</v>
      </c>
      <c r="G13" s="60">
        <f>E13*Configurações!$E$11/100</f>
        <v>795</v>
      </c>
      <c r="H13" s="7"/>
      <c r="J13" s="14"/>
    </row>
    <row r="14" spans="1:10" ht="22.5" customHeight="1" thickBot="1" x14ac:dyDescent="0.6">
      <c r="A14" s="14"/>
      <c r="C14" s="7"/>
      <c r="D14" s="2" t="s">
        <v>34</v>
      </c>
      <c r="E14" s="42">
        <v>8000</v>
      </c>
      <c r="F14" s="61">
        <v>0</v>
      </c>
      <c r="G14" s="60">
        <f>E14*Configurações!$E$11/100</f>
        <v>2120</v>
      </c>
      <c r="H14" s="7"/>
      <c r="J14" s="14"/>
    </row>
    <row r="15" spans="1:10" ht="21" customHeight="1" thickBot="1" x14ac:dyDescent="0.6">
      <c r="A15" s="14"/>
      <c r="C15" s="7"/>
      <c r="D15" s="2" t="s">
        <v>35</v>
      </c>
      <c r="E15" s="42">
        <v>2000</v>
      </c>
      <c r="F15" s="61">
        <v>0</v>
      </c>
      <c r="G15" s="60">
        <f>E15*Configurações!$E$11/100</f>
        <v>530</v>
      </c>
      <c r="H15" s="7"/>
      <c r="J15" s="14"/>
    </row>
    <row r="16" spans="1:10" ht="24" customHeight="1" thickBot="1" x14ac:dyDescent="0.6">
      <c r="A16" s="14"/>
      <c r="C16" s="7"/>
      <c r="D16" s="2" t="s">
        <v>36</v>
      </c>
      <c r="E16" s="42">
        <v>2000</v>
      </c>
      <c r="F16" s="61">
        <v>0</v>
      </c>
      <c r="G16" s="60">
        <f>E16*Configurações!$E$11/100</f>
        <v>530</v>
      </c>
      <c r="H16" s="7"/>
      <c r="J16" s="14"/>
    </row>
    <row r="17" spans="1:10" ht="20.25" customHeight="1" thickBot="1" x14ac:dyDescent="0.6">
      <c r="A17" s="14"/>
      <c r="C17" s="7"/>
      <c r="D17" s="2" t="s">
        <v>37</v>
      </c>
      <c r="E17" s="42">
        <v>1000</v>
      </c>
      <c r="F17" s="61">
        <v>0</v>
      </c>
      <c r="G17" s="60">
        <f>E17*Configurações!$E$11/100</f>
        <v>265</v>
      </c>
      <c r="H17" s="7"/>
      <c r="J17" s="14"/>
    </row>
    <row r="18" spans="1:10" ht="20.25" customHeight="1" thickBot="1" x14ac:dyDescent="0.6">
      <c r="A18" s="14"/>
      <c r="C18" s="7"/>
      <c r="D18" s="2" t="s">
        <v>38</v>
      </c>
      <c r="E18" s="42">
        <v>1500</v>
      </c>
      <c r="F18" s="61">
        <v>0</v>
      </c>
      <c r="G18" s="60">
        <f>E18*Configurações!$E$11/100</f>
        <v>397.5</v>
      </c>
      <c r="H18" s="7"/>
      <c r="J18" s="14"/>
    </row>
    <row r="19" spans="1:10" ht="21" customHeight="1" thickBot="1" x14ac:dyDescent="0.6">
      <c r="A19" s="14"/>
      <c r="C19" s="7"/>
      <c r="D19" s="2" t="s">
        <v>39</v>
      </c>
      <c r="E19" s="42">
        <v>1000</v>
      </c>
      <c r="F19" s="61">
        <v>0</v>
      </c>
      <c r="G19" s="60">
        <f>E19*Configurações!$E$11/100</f>
        <v>265</v>
      </c>
      <c r="H19" s="7"/>
      <c r="J19" s="14"/>
    </row>
    <row r="20" spans="1:10" ht="21.75" customHeight="1" thickBot="1" x14ac:dyDescent="0.6">
      <c r="A20" s="14"/>
      <c r="C20" s="7"/>
      <c r="D20" s="2" t="s">
        <v>40</v>
      </c>
      <c r="E20" s="42">
        <v>1000</v>
      </c>
      <c r="F20" s="61">
        <v>0</v>
      </c>
      <c r="G20" s="60">
        <f>E20*Configurações!$E$11/100</f>
        <v>265</v>
      </c>
      <c r="H20" s="7"/>
      <c r="J20" s="14"/>
    </row>
    <row r="21" spans="1:10" ht="22.5" customHeight="1" thickBot="1" x14ac:dyDescent="0.6">
      <c r="A21" s="14"/>
      <c r="C21" s="7"/>
      <c r="D21" s="2" t="s">
        <v>41</v>
      </c>
      <c r="E21" s="42">
        <v>4000</v>
      </c>
      <c r="F21" s="59">
        <f>E21*0.0925*0.5</f>
        <v>185</v>
      </c>
      <c r="G21" s="60">
        <f>E21*Configurações!$E$11/100</f>
        <v>1060</v>
      </c>
      <c r="H21" s="7"/>
      <c r="J21" s="14"/>
    </row>
    <row r="22" spans="1:10" ht="20.25" customHeight="1" x14ac:dyDescent="0.55000000000000004">
      <c r="A22" s="14"/>
      <c r="C22" s="7"/>
      <c r="D22" s="62" t="s">
        <v>42</v>
      </c>
      <c r="E22" s="63">
        <f>SUM(E12:E21)</f>
        <v>53500</v>
      </c>
      <c r="F22" s="18">
        <f>SUM(F12:F21)</f>
        <v>2960</v>
      </c>
      <c r="G22" s="18">
        <f>SUM(G12:G21)</f>
        <v>14177.5</v>
      </c>
      <c r="H22" s="7"/>
      <c r="J22" s="14"/>
    </row>
    <row r="23" spans="1:10" ht="16.7" customHeight="1" x14ac:dyDescent="0.55000000000000004">
      <c r="A23" s="14"/>
      <c r="C23" s="7"/>
      <c r="D23" s="64" t="s">
        <v>119</v>
      </c>
      <c r="E23" s="2"/>
      <c r="F23" s="65">
        <f>$F$22/$E$22</f>
        <v>5.5327102803738315E-2</v>
      </c>
      <c r="G23" s="65">
        <f>$G$22/$E$22</f>
        <v>0.26500000000000001</v>
      </c>
      <c r="H23" s="7"/>
      <c r="J23" s="14"/>
    </row>
    <row r="24" spans="1:10" ht="16.7" customHeight="1" x14ac:dyDescent="0.55000000000000004">
      <c r="A24" s="14"/>
      <c r="C24" s="7"/>
      <c r="D24" s="2"/>
      <c r="E24" s="2"/>
      <c r="F24" s="66"/>
      <c r="G24" s="66"/>
      <c r="H24" s="7"/>
      <c r="J24" s="14"/>
    </row>
    <row r="25" spans="1:10" ht="16.7" customHeight="1" x14ac:dyDescent="0.55000000000000004">
      <c r="A25" s="14"/>
      <c r="C25" s="7"/>
      <c r="D25" s="50" t="s">
        <v>43</v>
      </c>
      <c r="E25" s="2"/>
      <c r="F25" s="66"/>
      <c r="G25" s="66"/>
      <c r="H25" s="7"/>
      <c r="J25" s="14"/>
    </row>
    <row r="26" spans="1:10" ht="16.7" customHeight="1" x14ac:dyDescent="0.55000000000000004">
      <c r="A26" s="14"/>
      <c r="C26" s="7"/>
      <c r="D26" s="2"/>
      <c r="E26" s="2"/>
      <c r="F26" s="2"/>
      <c r="G26" s="2"/>
      <c r="H26" s="7"/>
      <c r="J26" s="14"/>
    </row>
    <row r="27" spans="1:10" ht="16.7" customHeight="1" x14ac:dyDescent="0.55000000000000004">
      <c r="A27" s="14"/>
      <c r="C27" s="7"/>
      <c r="D27" s="2" t="s">
        <v>44</v>
      </c>
      <c r="E27" s="67">
        <f>G22-F22</f>
        <v>11217.5</v>
      </c>
      <c r="F27" s="2"/>
      <c r="G27" s="2"/>
      <c r="H27" s="7"/>
      <c r="J27" s="14"/>
    </row>
    <row r="28" spans="1:10" ht="16.7" customHeight="1" x14ac:dyDescent="0.55000000000000004">
      <c r="A28" s="14"/>
      <c r="C28" s="7"/>
      <c r="D28" s="2" t="s">
        <v>45</v>
      </c>
      <c r="E28" s="10">
        <f>((G22-F22)/F22)*100</f>
        <v>378.96959459459458</v>
      </c>
      <c r="F28" s="2"/>
      <c r="G28" s="2"/>
      <c r="H28" s="7"/>
      <c r="J28" s="14"/>
    </row>
    <row r="29" spans="1:10" ht="16.7" customHeight="1" x14ac:dyDescent="0.55000000000000004">
      <c r="A29" s="14"/>
      <c r="C29" s="7"/>
      <c r="D29" s="2" t="s">
        <v>46</v>
      </c>
      <c r="E29" s="67">
        <f>E27*12</f>
        <v>134610</v>
      </c>
      <c r="F29" s="2"/>
      <c r="G29" s="2"/>
      <c r="H29" s="7"/>
      <c r="J29" s="14"/>
    </row>
    <row r="30" spans="1:10" ht="16.7" customHeight="1" x14ac:dyDescent="0.55000000000000004">
      <c r="A30" s="14"/>
      <c r="C30" s="7"/>
      <c r="D30" s="7"/>
      <c r="E30" s="7"/>
      <c r="F30" s="7"/>
      <c r="G30" s="7"/>
      <c r="H30" s="7"/>
      <c r="J30" s="14"/>
    </row>
    <row r="31" spans="1:10" ht="16.7" customHeight="1" x14ac:dyDescent="0.55000000000000004">
      <c r="A31" s="14"/>
      <c r="C31" s="7"/>
      <c r="D31" s="7"/>
      <c r="E31" s="7"/>
      <c r="F31" s="7"/>
      <c r="G31" s="7"/>
      <c r="H31" s="7"/>
      <c r="J31" s="14"/>
    </row>
    <row r="32" spans="1:10" ht="16.7" customHeight="1" x14ac:dyDescent="0.55000000000000004">
      <c r="A32" s="14"/>
      <c r="C32" s="7"/>
      <c r="D32" s="7"/>
      <c r="E32" s="7"/>
      <c r="F32" s="7"/>
      <c r="G32" s="7"/>
      <c r="H32" s="7"/>
      <c r="J32" s="14"/>
    </row>
    <row r="33" spans="1:10" ht="16.7" customHeight="1" x14ac:dyDescent="0.55000000000000004">
      <c r="A33" s="14"/>
      <c r="C33" s="7"/>
      <c r="D33" s="7"/>
      <c r="E33" s="7"/>
      <c r="F33" s="7"/>
      <c r="G33" s="7"/>
      <c r="H33" s="7"/>
      <c r="J33" s="14"/>
    </row>
    <row r="34" spans="1:10" ht="16.7" customHeight="1" x14ac:dyDescent="0.55000000000000004">
      <c r="A34" s="14"/>
      <c r="C34" s="7"/>
      <c r="D34" s="7"/>
      <c r="E34" s="7"/>
      <c r="F34" s="7"/>
      <c r="G34" s="7"/>
      <c r="H34" s="7"/>
      <c r="J34" s="14"/>
    </row>
    <row r="35" spans="1:10" ht="16.7" customHeight="1" x14ac:dyDescent="0.55000000000000004">
      <c r="A35" s="14"/>
      <c r="C35" s="7"/>
      <c r="D35" s="7"/>
      <c r="E35" s="7"/>
      <c r="F35" s="7"/>
      <c r="G35" s="7"/>
      <c r="H35" s="7"/>
      <c r="J35" s="14"/>
    </row>
    <row r="36" spans="1:10" ht="16.7" customHeight="1" x14ac:dyDescent="0.55000000000000004">
      <c r="A36" s="14"/>
      <c r="C36" s="7"/>
      <c r="D36" s="7"/>
      <c r="E36" s="7"/>
      <c r="F36" s="7"/>
      <c r="G36" s="7"/>
      <c r="H36" s="7"/>
      <c r="J36" s="14"/>
    </row>
    <row r="37" spans="1:10" ht="16.7" customHeight="1" x14ac:dyDescent="0.55000000000000004">
      <c r="A37" s="14"/>
      <c r="C37" s="7"/>
      <c r="D37" s="7"/>
      <c r="E37" s="7"/>
      <c r="F37" s="7"/>
      <c r="G37" s="7"/>
      <c r="H37" s="7"/>
      <c r="J37" s="14"/>
    </row>
    <row r="38" spans="1:10" ht="16.7" customHeight="1" x14ac:dyDescent="0.55000000000000004">
      <c r="A38" s="14"/>
      <c r="J38" s="14"/>
    </row>
    <row r="39" spans="1:10" ht="19.350000000000001" customHeight="1" x14ac:dyDescent="0.55000000000000004">
      <c r="A39" s="14"/>
      <c r="B39" s="14"/>
      <c r="C39" s="14"/>
      <c r="D39" s="14"/>
      <c r="E39" s="14"/>
      <c r="F39" s="14"/>
      <c r="G39" s="14"/>
      <c r="H39" s="14"/>
      <c r="I39" s="14"/>
      <c r="J39" s="14"/>
    </row>
    <row r="40" spans="1:10" ht="16.7" customHeight="1" x14ac:dyDescent="0.55000000000000004"/>
    <row r="41" spans="1:10" ht="16.7" customHeight="1" x14ac:dyDescent="0.55000000000000004"/>
    <row r="42" spans="1:10" ht="16.7" customHeight="1" x14ac:dyDescent="0.55000000000000004"/>
    <row r="43" spans="1:10" ht="16.7" customHeight="1" x14ac:dyDescent="0.55000000000000004"/>
    <row r="44" spans="1:10" ht="16.7" customHeight="1" x14ac:dyDescent="0.55000000000000004"/>
    <row r="45" spans="1:10" ht="16.7" customHeight="1" x14ac:dyDescent="0.55000000000000004"/>
    <row r="46" spans="1:10" ht="16.7" customHeight="1" x14ac:dyDescent="0.55000000000000004"/>
    <row r="47" spans="1:10" ht="16.7" customHeight="1" x14ac:dyDescent="0.55000000000000004"/>
    <row r="48" spans="1:10" ht="16.7" customHeight="1" x14ac:dyDescent="0.55000000000000004"/>
    <row r="49" ht="16.7" customHeight="1" x14ac:dyDescent="0.55000000000000004"/>
    <row r="50" ht="16.7" customHeight="1" x14ac:dyDescent="0.55000000000000004"/>
    <row r="51" ht="16.7" customHeight="1" x14ac:dyDescent="0.55000000000000004"/>
    <row r="52" ht="16.7" customHeight="1" x14ac:dyDescent="0.55000000000000004"/>
    <row r="53" ht="16.7" customHeight="1" x14ac:dyDescent="0.55000000000000004"/>
    <row r="54" ht="16.7" customHeight="1" x14ac:dyDescent="0.55000000000000004"/>
    <row r="55" ht="16.7" customHeight="1" x14ac:dyDescent="0.55000000000000004"/>
    <row r="56" ht="16.7" customHeight="1" x14ac:dyDescent="0.55000000000000004"/>
    <row r="57" ht="16.7" customHeight="1" x14ac:dyDescent="0.55000000000000004"/>
    <row r="58" ht="16.7" customHeight="1" x14ac:dyDescent="0.55000000000000004"/>
    <row r="59" ht="16.7" customHeight="1" x14ac:dyDescent="0.55000000000000004"/>
    <row r="60" ht="16.7" customHeight="1" x14ac:dyDescent="0.55000000000000004"/>
    <row r="61" ht="16.7" customHeight="1" x14ac:dyDescent="0.55000000000000004"/>
    <row r="62" ht="16.7" customHeight="1" x14ac:dyDescent="0.55000000000000004"/>
    <row r="63" ht="16.7" customHeight="1" x14ac:dyDescent="0.55000000000000004"/>
    <row r="64" ht="16.7" customHeight="1" x14ac:dyDescent="0.55000000000000004"/>
    <row r="65" ht="16.7" customHeight="1" x14ac:dyDescent="0.55000000000000004"/>
    <row r="66" ht="16.7" customHeight="1" x14ac:dyDescent="0.55000000000000004"/>
    <row r="67" ht="16.7" customHeight="1" x14ac:dyDescent="0.55000000000000004"/>
    <row r="68" ht="16.7" customHeight="1" x14ac:dyDescent="0.55000000000000004"/>
    <row r="69" ht="16.7" customHeight="1" x14ac:dyDescent="0.55000000000000004"/>
    <row r="70" ht="16.7" customHeight="1" x14ac:dyDescent="0.55000000000000004"/>
    <row r="71" ht="16.7" customHeight="1" x14ac:dyDescent="0.55000000000000004"/>
    <row r="72" ht="16.7" customHeight="1" x14ac:dyDescent="0.55000000000000004"/>
    <row r="73" ht="16.7" customHeight="1" x14ac:dyDescent="0.55000000000000004"/>
    <row r="74" ht="16.7" customHeight="1" x14ac:dyDescent="0.55000000000000004"/>
    <row r="75" ht="16.7" customHeight="1" x14ac:dyDescent="0.55000000000000004"/>
    <row r="76" ht="16.7" customHeight="1" x14ac:dyDescent="0.55000000000000004"/>
    <row r="77" ht="16.7" customHeight="1" x14ac:dyDescent="0.55000000000000004"/>
    <row r="78" ht="16.7" customHeight="1" x14ac:dyDescent="0.55000000000000004"/>
    <row r="79" ht="16.7" customHeight="1" x14ac:dyDescent="0.55000000000000004"/>
    <row r="80" ht="16.7" customHeight="1" x14ac:dyDescent="0.55000000000000004"/>
    <row r="81" ht="16.7" customHeight="1" x14ac:dyDescent="0.55000000000000004"/>
    <row r="82" ht="16.7" customHeight="1" x14ac:dyDescent="0.55000000000000004"/>
    <row r="83" ht="16.7" customHeight="1" x14ac:dyDescent="0.55000000000000004"/>
    <row r="84" ht="16.7" customHeight="1" x14ac:dyDescent="0.55000000000000004"/>
    <row r="85" ht="16.7" customHeight="1" x14ac:dyDescent="0.55000000000000004"/>
    <row r="86" ht="16.7" customHeight="1" x14ac:dyDescent="0.55000000000000004"/>
    <row r="87" ht="16.7" customHeight="1" x14ac:dyDescent="0.55000000000000004"/>
    <row r="88" ht="16.7" customHeight="1" x14ac:dyDescent="0.55000000000000004"/>
    <row r="89" ht="16.7" customHeight="1" x14ac:dyDescent="0.55000000000000004"/>
    <row r="90" ht="16.7" customHeight="1" x14ac:dyDescent="0.55000000000000004"/>
    <row r="91" ht="16.7" customHeight="1" x14ac:dyDescent="0.55000000000000004"/>
    <row r="92" ht="16.7" customHeight="1" x14ac:dyDescent="0.55000000000000004"/>
    <row r="93" ht="16.7" customHeight="1" x14ac:dyDescent="0.55000000000000004"/>
    <row r="94" ht="16.7" customHeight="1" x14ac:dyDescent="0.55000000000000004"/>
    <row r="95" ht="16.7" customHeight="1" x14ac:dyDescent="0.55000000000000004"/>
    <row r="96" ht="16.7" customHeight="1" x14ac:dyDescent="0.55000000000000004"/>
    <row r="97" ht="16.7" customHeight="1" x14ac:dyDescent="0.55000000000000004"/>
    <row r="98" ht="16.7" customHeight="1" x14ac:dyDescent="0.55000000000000004"/>
    <row r="99" ht="16.7" customHeight="1" x14ac:dyDescent="0.55000000000000004"/>
    <row r="100" ht="16.7" customHeight="1" x14ac:dyDescent="0.55000000000000004"/>
    <row r="101" ht="16.7" customHeight="1" x14ac:dyDescent="0.55000000000000004"/>
    <row r="102" ht="16.7" customHeight="1" x14ac:dyDescent="0.55000000000000004"/>
    <row r="103" ht="16.7" customHeight="1" x14ac:dyDescent="0.55000000000000004"/>
    <row r="104" ht="16.7" customHeight="1" x14ac:dyDescent="0.55000000000000004"/>
    <row r="105" ht="16.7" customHeight="1" x14ac:dyDescent="0.55000000000000004"/>
    <row r="106" ht="16.7" customHeight="1" x14ac:dyDescent="0.55000000000000004"/>
    <row r="107" ht="16.7" customHeight="1" x14ac:dyDescent="0.55000000000000004"/>
    <row r="108" ht="16.7" customHeight="1" x14ac:dyDescent="0.55000000000000004"/>
    <row r="109" ht="16.7" customHeight="1" x14ac:dyDescent="0.55000000000000004"/>
    <row r="110" ht="16.7" customHeight="1" x14ac:dyDescent="0.55000000000000004"/>
    <row r="111" ht="16.7" customHeight="1" x14ac:dyDescent="0.55000000000000004"/>
    <row r="112" ht="16.7" customHeight="1" x14ac:dyDescent="0.55000000000000004"/>
    <row r="113" ht="16.7" customHeight="1" x14ac:dyDescent="0.55000000000000004"/>
    <row r="114" ht="16.7" customHeight="1" x14ac:dyDescent="0.55000000000000004"/>
    <row r="115" ht="16.7" customHeight="1" x14ac:dyDescent="0.55000000000000004"/>
    <row r="116" ht="16.7" customHeight="1" x14ac:dyDescent="0.55000000000000004"/>
    <row r="117" ht="16.7" customHeight="1" x14ac:dyDescent="0.55000000000000004"/>
    <row r="118" ht="16.7" customHeight="1" x14ac:dyDescent="0.55000000000000004"/>
    <row r="119" ht="16.7" customHeight="1" x14ac:dyDescent="0.55000000000000004"/>
    <row r="120" ht="16.7" customHeight="1" x14ac:dyDescent="0.55000000000000004"/>
    <row r="121" ht="16.7" customHeight="1" x14ac:dyDescent="0.55000000000000004"/>
    <row r="122" ht="16.7" customHeight="1" x14ac:dyDescent="0.55000000000000004"/>
    <row r="123" ht="16.7" customHeight="1" x14ac:dyDescent="0.55000000000000004"/>
    <row r="124" ht="16.7" customHeight="1" x14ac:dyDescent="0.55000000000000004"/>
    <row r="125" ht="16.7" customHeight="1" x14ac:dyDescent="0.55000000000000004"/>
    <row r="126" ht="16.7" customHeight="1" x14ac:dyDescent="0.55000000000000004"/>
    <row r="127" ht="16.7" customHeight="1" x14ac:dyDescent="0.55000000000000004"/>
    <row r="128" ht="16.7" customHeight="1" x14ac:dyDescent="0.55000000000000004"/>
    <row r="129" ht="16.7" customHeight="1" x14ac:dyDescent="0.55000000000000004"/>
    <row r="130" ht="16.7" customHeight="1" x14ac:dyDescent="0.55000000000000004"/>
    <row r="131" ht="16.7" customHeight="1" x14ac:dyDescent="0.55000000000000004"/>
    <row r="132" ht="16.7" customHeight="1" x14ac:dyDescent="0.55000000000000004"/>
    <row r="133" ht="16.7" customHeight="1" x14ac:dyDescent="0.55000000000000004"/>
    <row r="134" ht="16.7" customHeight="1" x14ac:dyDescent="0.55000000000000004"/>
    <row r="135" ht="16.7" customHeight="1" x14ac:dyDescent="0.55000000000000004"/>
    <row r="136" ht="16.7" customHeight="1" x14ac:dyDescent="0.55000000000000004"/>
    <row r="137" ht="16.7" customHeight="1" x14ac:dyDescent="0.55000000000000004"/>
    <row r="138" ht="16.7" customHeight="1" x14ac:dyDescent="0.55000000000000004"/>
    <row r="139" ht="16.7" customHeight="1" x14ac:dyDescent="0.55000000000000004"/>
    <row r="140" ht="16.7" customHeight="1" x14ac:dyDescent="0.55000000000000004"/>
    <row r="141" ht="16.7" customHeight="1" x14ac:dyDescent="0.55000000000000004"/>
    <row r="142" ht="16.7" customHeight="1" x14ac:dyDescent="0.55000000000000004"/>
    <row r="143" ht="16.7" customHeight="1" x14ac:dyDescent="0.55000000000000004"/>
    <row r="144" ht="16.7" customHeight="1" x14ac:dyDescent="0.55000000000000004"/>
    <row r="145" ht="16.7" customHeight="1" x14ac:dyDescent="0.55000000000000004"/>
    <row r="146" ht="16.7" customHeight="1" x14ac:dyDescent="0.55000000000000004"/>
    <row r="147" ht="16.7" customHeight="1" x14ac:dyDescent="0.55000000000000004"/>
    <row r="148" ht="16.7" customHeight="1" x14ac:dyDescent="0.55000000000000004"/>
    <row r="149" ht="16.7" customHeight="1" x14ac:dyDescent="0.55000000000000004"/>
    <row r="150" ht="16.7" customHeight="1" x14ac:dyDescent="0.55000000000000004"/>
    <row r="151" ht="16.7" customHeight="1" x14ac:dyDescent="0.55000000000000004"/>
    <row r="152" ht="16.7" customHeight="1" x14ac:dyDescent="0.55000000000000004"/>
    <row r="153" ht="16.7" customHeight="1" x14ac:dyDescent="0.55000000000000004"/>
    <row r="154" ht="16.7" customHeight="1" x14ac:dyDescent="0.55000000000000004"/>
    <row r="155" ht="16.7" customHeight="1" x14ac:dyDescent="0.55000000000000004"/>
    <row r="156" ht="16.7" customHeight="1" x14ac:dyDescent="0.55000000000000004"/>
    <row r="157" ht="16.7" customHeight="1" x14ac:dyDescent="0.55000000000000004"/>
    <row r="158" ht="16.7" customHeight="1" x14ac:dyDescent="0.55000000000000004"/>
    <row r="159" ht="16.7" customHeight="1" x14ac:dyDescent="0.55000000000000004"/>
    <row r="160" ht="16.7" customHeight="1" x14ac:dyDescent="0.55000000000000004"/>
    <row r="161" ht="16.7" customHeight="1" x14ac:dyDescent="0.55000000000000004"/>
    <row r="162" ht="16.7" customHeight="1" x14ac:dyDescent="0.55000000000000004"/>
    <row r="163" ht="16.7" customHeight="1" x14ac:dyDescent="0.55000000000000004"/>
    <row r="164" ht="16.7" customHeight="1" x14ac:dyDescent="0.55000000000000004"/>
  </sheetData>
  <sheetProtection formatCells="0" formatColumns="0" formatRows="0" insertColumns="0" insertRows="0" deleteColumns="0" deleteRows="0"/>
  <mergeCells count="2">
    <mergeCell ref="C2:H2"/>
    <mergeCell ref="D4:G4"/>
  </mergeCells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K66"/>
  <sheetViews>
    <sheetView showGridLines="0" showRowColHeaders="0" workbookViewId="0"/>
  </sheetViews>
  <sheetFormatPr defaultColWidth="8.85546875" defaultRowHeight="33" x14ac:dyDescent="0.6"/>
  <cols>
    <col min="1" max="1" width="22.85546875" style="4" customWidth="1"/>
    <col min="2" max="3" width="5.42578125" style="4" customWidth="1"/>
    <col min="4" max="4" width="24.7109375" style="4" customWidth="1"/>
    <col min="5" max="8" width="17.42578125" style="4" customWidth="1"/>
    <col min="9" max="11" width="5.42578125" style="4" customWidth="1"/>
    <col min="12" max="16384" width="8.85546875" style="4"/>
  </cols>
  <sheetData>
    <row r="1" spans="1:11" ht="16.7" customHeight="1" x14ac:dyDescent="0.6"/>
    <row r="2" spans="1:11" ht="27" customHeight="1" x14ac:dyDescent="0.6">
      <c r="A2" s="11"/>
      <c r="B2" s="11"/>
      <c r="C2" s="85" t="s">
        <v>131</v>
      </c>
      <c r="D2" s="85"/>
      <c r="E2" s="85"/>
      <c r="F2" s="85"/>
      <c r="G2" s="85"/>
      <c r="H2" s="85"/>
      <c r="I2" s="85"/>
      <c r="J2" s="11"/>
      <c r="K2" s="11"/>
    </row>
    <row r="3" spans="1:11" ht="29.45" customHeight="1" x14ac:dyDescent="0.6">
      <c r="A3" s="11"/>
      <c r="D3" s="84"/>
      <c r="E3" s="84"/>
      <c r="F3" s="84"/>
      <c r="G3" s="84"/>
      <c r="H3" s="84"/>
      <c r="K3" s="11"/>
    </row>
    <row r="4" spans="1:11" ht="24.6" customHeight="1" x14ac:dyDescent="0.6">
      <c r="A4" s="11"/>
      <c r="D4" s="84" t="s">
        <v>47</v>
      </c>
      <c r="E4" s="84"/>
      <c r="F4" s="84"/>
      <c r="G4" s="84"/>
      <c r="H4" s="84"/>
      <c r="K4" s="11"/>
    </row>
    <row r="5" spans="1:11" ht="24.6" customHeight="1" x14ac:dyDescent="0.6">
      <c r="A5" s="11"/>
      <c r="K5" s="11"/>
    </row>
    <row r="6" spans="1:11" ht="16.7" customHeight="1" x14ac:dyDescent="0.6">
      <c r="A6" s="11"/>
      <c r="C6" s="5"/>
      <c r="D6" s="5"/>
      <c r="E6" s="5"/>
      <c r="F6" s="5"/>
      <c r="G6" s="5"/>
      <c r="H6" s="5"/>
      <c r="I6" s="5"/>
      <c r="K6" s="11"/>
    </row>
    <row r="7" spans="1:11" ht="16.7" customHeight="1" x14ac:dyDescent="0.6">
      <c r="A7" s="11"/>
      <c r="C7" s="5"/>
      <c r="D7" s="50" t="s">
        <v>48</v>
      </c>
      <c r="E7" s="5"/>
      <c r="F7" s="5"/>
      <c r="G7" s="5"/>
      <c r="H7" s="5"/>
      <c r="I7" s="5"/>
      <c r="K7" s="11"/>
    </row>
    <row r="8" spans="1:11" ht="16.7" customHeight="1" thickBot="1" x14ac:dyDescent="0.65">
      <c r="A8" s="11"/>
      <c r="C8" s="5"/>
      <c r="D8" s="5"/>
      <c r="E8" s="45"/>
      <c r="F8" s="5"/>
      <c r="G8" s="45" t="s">
        <v>91</v>
      </c>
      <c r="H8" s="5"/>
      <c r="I8" s="5"/>
      <c r="K8" s="11"/>
    </row>
    <row r="9" spans="1:11" ht="16.7" customHeight="1" thickBot="1" x14ac:dyDescent="0.65">
      <c r="A9" s="11"/>
      <c r="C9" s="5"/>
      <c r="D9" s="2" t="s">
        <v>49</v>
      </c>
      <c r="E9" s="56">
        <v>12000</v>
      </c>
      <c r="F9" s="51" t="s">
        <v>80</v>
      </c>
      <c r="G9" s="43" t="s">
        <v>83</v>
      </c>
      <c r="H9" s="5"/>
      <c r="I9" s="5"/>
      <c r="K9" s="11"/>
    </row>
    <row r="10" spans="1:11" ht="16.7" customHeight="1" x14ac:dyDescent="0.6">
      <c r="A10" s="11"/>
      <c r="C10" s="5"/>
      <c r="D10" s="2"/>
      <c r="E10" s="56"/>
      <c r="F10" s="51"/>
      <c r="G10" s="44"/>
      <c r="H10" s="5"/>
      <c r="I10" s="5"/>
      <c r="K10" s="11"/>
    </row>
    <row r="11" spans="1:11" ht="20.25" customHeight="1" x14ac:dyDescent="0.6">
      <c r="A11" s="11"/>
      <c r="C11" s="5"/>
      <c r="D11" s="2" t="s">
        <v>50</v>
      </c>
      <c r="E11" s="57">
        <f>HLOOKUP(G9,Comparativo_por_Regime!E15:G23,8,0)</f>
        <v>6</v>
      </c>
      <c r="F11" s="5"/>
      <c r="G11" s="5"/>
      <c r="H11" s="5"/>
      <c r="I11" s="5"/>
      <c r="K11" s="11"/>
    </row>
    <row r="12" spans="1:11" ht="24.75" customHeight="1" x14ac:dyDescent="0.6">
      <c r="A12" s="11"/>
      <c r="C12" s="5"/>
      <c r="D12" s="2" t="s">
        <v>51</v>
      </c>
      <c r="E12" s="57">
        <f>Comparativo_por_Regime!H22</f>
        <v>26.5</v>
      </c>
      <c r="F12" s="5"/>
      <c r="G12" s="5"/>
      <c r="H12" s="5"/>
      <c r="I12" s="5"/>
      <c r="K12" s="11"/>
    </row>
    <row r="13" spans="1:11" ht="16.7" customHeight="1" x14ac:dyDescent="0.6">
      <c r="A13" s="11"/>
      <c r="C13" s="5"/>
      <c r="D13" s="50"/>
      <c r="E13" s="86" t="s">
        <v>52</v>
      </c>
      <c r="F13" s="86"/>
      <c r="G13" s="86"/>
      <c r="H13" s="86"/>
      <c r="I13" s="2"/>
      <c r="K13" s="11"/>
    </row>
    <row r="14" spans="1:11" ht="16.7" customHeight="1" x14ac:dyDescent="0.6">
      <c r="A14" s="11"/>
      <c r="C14" s="5"/>
      <c r="D14" s="50"/>
      <c r="E14" s="5"/>
      <c r="F14" s="5"/>
      <c r="G14" s="5"/>
      <c r="H14" s="5"/>
      <c r="I14" s="2"/>
      <c r="K14" s="11"/>
    </row>
    <row r="15" spans="1:11" ht="19.5" customHeight="1" x14ac:dyDescent="0.6">
      <c r="A15" s="11"/>
      <c r="C15" s="5"/>
      <c r="D15" s="5"/>
      <c r="E15" s="52" t="s">
        <v>74</v>
      </c>
      <c r="F15" s="52" t="s">
        <v>74</v>
      </c>
      <c r="G15" s="52" t="s">
        <v>76</v>
      </c>
      <c r="H15" s="13" t="s">
        <v>78</v>
      </c>
      <c r="I15" s="2"/>
      <c r="K15" s="11"/>
    </row>
    <row r="16" spans="1:11" ht="21" customHeight="1" x14ac:dyDescent="0.6">
      <c r="A16" s="11"/>
      <c r="C16" s="5"/>
      <c r="D16" s="13" t="s">
        <v>73</v>
      </c>
      <c r="E16" s="52" t="s">
        <v>75</v>
      </c>
      <c r="F16" s="52" t="s">
        <v>68</v>
      </c>
      <c r="G16" s="52" t="s">
        <v>77</v>
      </c>
      <c r="H16" s="13" t="s">
        <v>79</v>
      </c>
      <c r="I16" s="2"/>
      <c r="K16" s="11"/>
    </row>
    <row r="17" spans="1:11" ht="22.5" customHeight="1" x14ac:dyDescent="0.6">
      <c r="A17" s="11"/>
      <c r="C17" s="5"/>
      <c r="D17" s="53">
        <v>2026</v>
      </c>
      <c r="E17" s="17">
        <f>IF($G$9="SIMPLES NACIONAL",$E$11,$E$9*($E$11/100)*(100/100))</f>
        <v>6</v>
      </c>
      <c r="F17" s="17">
        <f>$E$9*((Configurações!$E$9*0.1%)/100)+$E$9*((Configurações!$E$10*0.9%)/100)</f>
        <v>20.172000000000004</v>
      </c>
      <c r="G17" s="54">
        <f t="shared" ref="G17:G24" si="0">E17+F17</f>
        <v>26.172000000000004</v>
      </c>
      <c r="H17" s="55">
        <f t="shared" ref="H17:H24" si="1">(G17-($E$9*$E$11/100))/($E$9*$E$11/100)</f>
        <v>-0.96365000000000001</v>
      </c>
      <c r="I17" s="2"/>
      <c r="K17" s="11"/>
    </row>
    <row r="18" spans="1:11" ht="20.25" customHeight="1" x14ac:dyDescent="0.6">
      <c r="A18" s="11"/>
      <c r="C18" s="5"/>
      <c r="D18" s="53">
        <v>2027</v>
      </c>
      <c r="E18" s="17">
        <f>IF($G$9="SIMPLES NACIONAL",$E$11,$E$9*(($E$11-Configurações!$E$22-Configurações!$E$23)/100))</f>
        <v>6</v>
      </c>
      <c r="F18" s="17">
        <f>$E$9*(Configurações!$E$9/100)</f>
        <v>1056</v>
      </c>
      <c r="G18" s="54">
        <f t="shared" si="0"/>
        <v>1062</v>
      </c>
      <c r="H18" s="55">
        <f t="shared" si="1"/>
        <v>0.47499999999999998</v>
      </c>
      <c r="I18" s="2"/>
      <c r="K18" s="11"/>
    </row>
    <row r="19" spans="1:11" ht="20.25" customHeight="1" x14ac:dyDescent="0.6">
      <c r="A19" s="11"/>
      <c r="C19" s="5"/>
      <c r="D19" s="53">
        <v>2028</v>
      </c>
      <c r="E19" s="17">
        <f>IF($G$9="SIMPLES NACIONAL",$E$11,$E$9*(($E$11-Configurações!$E$22-Configurações!$E$23)/100))</f>
        <v>6</v>
      </c>
      <c r="F19" s="17">
        <f>$E$9*(Configurações!$E$9/100)</f>
        <v>1056</v>
      </c>
      <c r="G19" s="54">
        <f t="shared" si="0"/>
        <v>1062</v>
      </c>
      <c r="H19" s="55">
        <f t="shared" si="1"/>
        <v>0.47499999999999998</v>
      </c>
      <c r="I19" s="2"/>
      <c r="K19" s="11"/>
    </row>
    <row r="20" spans="1:11" ht="20.25" customHeight="1" x14ac:dyDescent="0.6">
      <c r="A20" s="11"/>
      <c r="C20" s="5"/>
      <c r="D20" s="53">
        <v>2029</v>
      </c>
      <c r="E20" s="17">
        <f>IF($G$9="SIMPLES NACIONAL",$E$11,$E$9*(Configurações!$E$25/100)*(90%))</f>
        <v>6</v>
      </c>
      <c r="F20" s="17">
        <f>$E$9*(Configurações!$E$9/100)+$E$9*((Configurações!$E$10*10%)/100)</f>
        <v>1268.4000000000001</v>
      </c>
      <c r="G20" s="54">
        <f t="shared" si="0"/>
        <v>1274.4000000000001</v>
      </c>
      <c r="H20" s="55">
        <f t="shared" si="1"/>
        <v>0.77000000000000013</v>
      </c>
      <c r="I20" s="2"/>
      <c r="K20" s="11"/>
    </row>
    <row r="21" spans="1:11" ht="23.25" customHeight="1" x14ac:dyDescent="0.6">
      <c r="A21" s="11"/>
      <c r="C21" s="5"/>
      <c r="D21" s="53">
        <v>2030</v>
      </c>
      <c r="E21" s="17">
        <f>IF($G$9="SIMPLES NACIONAL",$E$11,$E$9*(Configurações!$E$25/100)*(80%))</f>
        <v>6</v>
      </c>
      <c r="F21" s="17">
        <f>$E$9*(Configurações!$E$9/100)+$E$9*((Configurações!$E$10*20%)/100)</f>
        <v>1480.8</v>
      </c>
      <c r="G21" s="54">
        <f t="shared" si="0"/>
        <v>1486.8</v>
      </c>
      <c r="H21" s="55">
        <f t="shared" si="1"/>
        <v>1.0649999999999999</v>
      </c>
      <c r="I21" s="5"/>
      <c r="K21" s="11"/>
    </row>
    <row r="22" spans="1:11" ht="22.5" customHeight="1" x14ac:dyDescent="0.6">
      <c r="A22" s="11"/>
      <c r="C22" s="5"/>
      <c r="D22" s="53">
        <v>2031</v>
      </c>
      <c r="E22" s="17">
        <f>IF($G$9="SIMPLES NACIONAL",$E$11,$E$9*(Configurações!$E$25/100)*(70%))</f>
        <v>6</v>
      </c>
      <c r="F22" s="17">
        <f>$E$9*(Configurações!$E$9/100)+$E$9*((Configurações!$E$10*30%)/100)</f>
        <v>1693.1999999999998</v>
      </c>
      <c r="G22" s="54">
        <f t="shared" si="0"/>
        <v>1699.1999999999998</v>
      </c>
      <c r="H22" s="55">
        <f t="shared" si="1"/>
        <v>1.3599999999999997</v>
      </c>
      <c r="I22" s="5"/>
      <c r="K22" s="11"/>
    </row>
    <row r="23" spans="1:11" ht="18.75" customHeight="1" x14ac:dyDescent="0.6">
      <c r="A23" s="11"/>
      <c r="C23" s="5"/>
      <c r="D23" s="53">
        <v>2032</v>
      </c>
      <c r="E23" s="17">
        <f>IF($G$9="SIMPLES NACIONAL",$E$11,$E$9*(Configurações!$E$25/100)*(60%))</f>
        <v>6</v>
      </c>
      <c r="F23" s="17">
        <f>$E$9*(Configurações!$E$9/100)+$E$9*((Configurações!$E$10*40%)/100)</f>
        <v>1905.6</v>
      </c>
      <c r="G23" s="54">
        <f t="shared" si="0"/>
        <v>1911.6</v>
      </c>
      <c r="H23" s="55">
        <f t="shared" si="1"/>
        <v>1.6549999999999998</v>
      </c>
      <c r="I23" s="5"/>
      <c r="K23" s="11"/>
    </row>
    <row r="24" spans="1:11" ht="20.25" customHeight="1" x14ac:dyDescent="0.6">
      <c r="A24" s="11"/>
      <c r="C24" s="5"/>
      <c r="D24" s="53">
        <v>2033</v>
      </c>
      <c r="E24" s="17">
        <f>IF($G$9="SIMPLES NACIONAL",$E$11,$E$9*($E$11/100)*(0/100))</f>
        <v>6</v>
      </c>
      <c r="F24" s="17">
        <f>$E$9*(Configurações!$E$9/100)+$E$9*((Configurações!$E$10*100%)/100)</f>
        <v>3180</v>
      </c>
      <c r="G24" s="54">
        <f t="shared" si="0"/>
        <v>3186</v>
      </c>
      <c r="H24" s="55">
        <f t="shared" si="1"/>
        <v>3.4249999999999998</v>
      </c>
      <c r="I24" s="5"/>
      <c r="K24" s="11"/>
    </row>
    <row r="25" spans="1:11" ht="27" customHeight="1" x14ac:dyDescent="0.6">
      <c r="A25" s="11"/>
      <c r="C25" s="5"/>
      <c r="D25" s="5"/>
      <c r="E25" s="5"/>
      <c r="F25" s="5"/>
      <c r="G25" s="5"/>
      <c r="H25" s="5"/>
      <c r="I25" s="5"/>
      <c r="K25" s="11"/>
    </row>
    <row r="26" spans="1:11" ht="16.7" customHeight="1" x14ac:dyDescent="0.6">
      <c r="A26" s="11"/>
      <c r="C26" s="5"/>
      <c r="D26" s="5"/>
      <c r="E26" s="5"/>
      <c r="F26" s="5"/>
      <c r="G26" s="5"/>
      <c r="H26" s="5"/>
      <c r="I26" s="5"/>
      <c r="K26" s="11"/>
    </row>
    <row r="27" spans="1:11" ht="16.7" customHeight="1" x14ac:dyDescent="0.6">
      <c r="A27" s="11"/>
      <c r="C27" s="5"/>
      <c r="D27" s="5"/>
      <c r="E27" s="5"/>
      <c r="F27" s="5"/>
      <c r="G27" s="5"/>
      <c r="H27" s="5"/>
      <c r="I27" s="5"/>
      <c r="K27" s="11"/>
    </row>
    <row r="28" spans="1:11" ht="16.7" customHeight="1" x14ac:dyDescent="0.6">
      <c r="A28" s="11"/>
      <c r="C28" s="5"/>
      <c r="D28" s="5"/>
      <c r="E28" s="5"/>
      <c r="F28" s="5"/>
      <c r="G28" s="5"/>
      <c r="H28" s="5"/>
      <c r="I28" s="5"/>
      <c r="K28" s="11"/>
    </row>
    <row r="29" spans="1:11" ht="16.7" customHeight="1" x14ac:dyDescent="0.6">
      <c r="A29" s="11"/>
      <c r="C29" s="5"/>
      <c r="D29" s="5"/>
      <c r="E29" s="5"/>
      <c r="F29" s="5"/>
      <c r="G29" s="5"/>
      <c r="H29" s="5"/>
      <c r="I29" s="5"/>
      <c r="K29" s="11"/>
    </row>
    <row r="30" spans="1:11" ht="16.7" customHeight="1" x14ac:dyDescent="0.6">
      <c r="A30" s="11"/>
      <c r="C30" s="5"/>
      <c r="D30" s="5"/>
      <c r="E30" s="5"/>
      <c r="F30" s="5"/>
      <c r="G30" s="5"/>
      <c r="H30" s="5"/>
      <c r="I30" s="5"/>
      <c r="K30" s="11"/>
    </row>
    <row r="31" spans="1:11" ht="16.7" customHeight="1" x14ac:dyDescent="0.6">
      <c r="A31" s="11"/>
      <c r="C31" s="5"/>
      <c r="D31" s="5"/>
      <c r="E31" s="5"/>
      <c r="F31" s="5"/>
      <c r="G31" s="5"/>
      <c r="H31" s="5"/>
      <c r="I31" s="5"/>
      <c r="K31" s="11"/>
    </row>
    <row r="32" spans="1:11" ht="16.7" customHeight="1" x14ac:dyDescent="0.6">
      <c r="A32" s="11"/>
      <c r="C32" s="5"/>
      <c r="D32" s="5"/>
      <c r="E32" s="5"/>
      <c r="F32" s="5"/>
      <c r="G32" s="5"/>
      <c r="H32" s="5"/>
      <c r="I32" s="5"/>
      <c r="K32" s="11"/>
    </row>
    <row r="33" spans="1:11" ht="16.7" customHeight="1" x14ac:dyDescent="0.6">
      <c r="A33" s="11"/>
      <c r="C33" s="5"/>
      <c r="D33" s="5"/>
      <c r="E33" s="5"/>
      <c r="F33" s="5"/>
      <c r="G33" s="5"/>
      <c r="H33" s="5"/>
      <c r="I33" s="5"/>
      <c r="K33" s="11"/>
    </row>
    <row r="34" spans="1:11" ht="16.7" customHeight="1" x14ac:dyDescent="0.6">
      <c r="A34" s="11"/>
      <c r="C34" s="5"/>
      <c r="D34" s="5"/>
      <c r="E34" s="5"/>
      <c r="F34" s="5"/>
      <c r="G34" s="5"/>
      <c r="H34" s="5"/>
      <c r="I34" s="5"/>
      <c r="K34" s="11"/>
    </row>
    <row r="35" spans="1:11" ht="16.7" customHeight="1" x14ac:dyDescent="0.6">
      <c r="A35" s="11"/>
      <c r="C35" s="5"/>
      <c r="D35" s="5"/>
      <c r="E35" s="5"/>
      <c r="F35" s="5"/>
      <c r="G35" s="5"/>
      <c r="H35" s="5"/>
      <c r="I35" s="5"/>
      <c r="K35" s="11"/>
    </row>
    <row r="36" spans="1:11" ht="16.7" customHeight="1" x14ac:dyDescent="0.6">
      <c r="A36" s="11"/>
      <c r="C36" s="5"/>
      <c r="D36" s="5"/>
      <c r="E36" s="5"/>
      <c r="F36" s="5"/>
      <c r="G36" s="5"/>
      <c r="H36" s="5"/>
      <c r="I36" s="5"/>
      <c r="K36" s="11"/>
    </row>
    <row r="37" spans="1:11" ht="16.7" customHeight="1" x14ac:dyDescent="0.6">
      <c r="A37" s="11"/>
      <c r="C37" s="5"/>
      <c r="D37" s="5"/>
      <c r="E37" s="5"/>
      <c r="F37" s="5"/>
      <c r="G37" s="5"/>
      <c r="H37" s="5"/>
      <c r="I37" s="5"/>
      <c r="K37" s="11"/>
    </row>
    <row r="38" spans="1:11" ht="16.7" customHeight="1" x14ac:dyDescent="0.6">
      <c r="A38" s="11"/>
      <c r="K38" s="11"/>
    </row>
    <row r="39" spans="1:11" ht="19.350000000000001" customHeight="1" x14ac:dyDescent="0.6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</row>
    <row r="40" spans="1:11" ht="16.7" customHeight="1" x14ac:dyDescent="0.6"/>
    <row r="41" spans="1:11" ht="16.7" customHeight="1" x14ac:dyDescent="0.6"/>
    <row r="42" spans="1:11" ht="16.7" customHeight="1" x14ac:dyDescent="0.6"/>
    <row r="43" spans="1:11" ht="16.7" customHeight="1" x14ac:dyDescent="0.6"/>
    <row r="44" spans="1:11" ht="16.7" customHeight="1" x14ac:dyDescent="0.6"/>
    <row r="45" spans="1:11" ht="16.7" customHeight="1" x14ac:dyDescent="0.6"/>
    <row r="46" spans="1:11" ht="16.7" customHeight="1" x14ac:dyDescent="0.6"/>
    <row r="47" spans="1:11" ht="16.7" customHeight="1" x14ac:dyDescent="0.6"/>
    <row r="48" spans="1:11" ht="16.7" customHeight="1" x14ac:dyDescent="0.6"/>
    <row r="49" ht="16.7" customHeight="1" x14ac:dyDescent="0.6"/>
    <row r="50" ht="16.7" customHeight="1" x14ac:dyDescent="0.6"/>
    <row r="51" ht="16.7" customHeight="1" x14ac:dyDescent="0.6"/>
    <row r="52" ht="16.7" customHeight="1" x14ac:dyDescent="0.6"/>
    <row r="53" ht="16.7" customHeight="1" x14ac:dyDescent="0.6"/>
    <row r="54" ht="16.7" customHeight="1" x14ac:dyDescent="0.6"/>
    <row r="55" ht="16.7" customHeight="1" x14ac:dyDescent="0.6"/>
    <row r="56" ht="16.7" customHeight="1" x14ac:dyDescent="0.6"/>
    <row r="57" ht="16.7" customHeight="1" x14ac:dyDescent="0.6"/>
    <row r="58" ht="16.7" customHeight="1" x14ac:dyDescent="0.6"/>
    <row r="59" ht="16.7" customHeight="1" x14ac:dyDescent="0.6"/>
    <row r="60" ht="16.7" customHeight="1" x14ac:dyDescent="0.6"/>
    <row r="61" ht="16.7" customHeight="1" x14ac:dyDescent="0.6"/>
    <row r="62" ht="16.7" customHeight="1" x14ac:dyDescent="0.6"/>
    <row r="63" ht="16.7" customHeight="1" x14ac:dyDescent="0.6"/>
    <row r="64" ht="16.7" customHeight="1" x14ac:dyDescent="0.6"/>
    <row r="65" ht="16.7" customHeight="1" x14ac:dyDescent="0.6"/>
    <row r="66" ht="16.7" customHeight="1" x14ac:dyDescent="0.6"/>
  </sheetData>
  <sheetProtection formatCells="0" formatColumns="0" formatRows="0" insertColumns="0" insertRows="0" deleteColumns="0" deleteRows="0"/>
  <mergeCells count="4">
    <mergeCell ref="D4:H4"/>
    <mergeCell ref="E13:H13"/>
    <mergeCell ref="C2:I2"/>
    <mergeCell ref="D3:H3"/>
  </mergeCells>
  <dataValidations count="1">
    <dataValidation type="list" allowBlank="1" showInputMessage="1" showErrorMessage="1" sqref="G9:G10" xr:uid="{BE1566FF-7FF3-4878-B542-0BB3CDF62AF6}">
      <formula1>"LUCRO REAL, LUCRO PRESUMIDO, SIMPLES NACIONAL"</formula1>
    </dataValidation>
  </dataValidations>
  <pageMargins left="0.75" right="0.75" top="1" bottom="1" header="0.5" footer="0.5"/>
  <pageSetup paperSize="9" orientation="portrait" r:id="rId1"/>
  <ignoredErrors>
    <ignoredError sqref="E11:E12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K56"/>
  <sheetViews>
    <sheetView showGridLines="0" showRowColHeaders="0" zoomScale="80" zoomScaleNormal="80" workbookViewId="0">
      <selection activeCell="J11" sqref="J11"/>
    </sheetView>
  </sheetViews>
  <sheetFormatPr defaultColWidth="8.85546875" defaultRowHeight="33" x14ac:dyDescent="0.6"/>
  <cols>
    <col min="1" max="1" width="22.85546875" style="4" customWidth="1"/>
    <col min="2" max="2" width="5.42578125" style="4" customWidth="1"/>
    <col min="3" max="3" width="24.7109375" style="4" customWidth="1"/>
    <col min="4" max="4" width="18.85546875" style="4" customWidth="1"/>
    <col min="5" max="5" width="24.7109375" style="4" customWidth="1"/>
    <col min="6" max="6" width="18.140625" style="4" bestFit="1" customWidth="1"/>
    <col min="7" max="7" width="24.7109375" style="4" customWidth="1"/>
    <col min="8" max="8" width="14.140625" style="4" customWidth="1"/>
    <col min="9" max="9" width="8.85546875" style="4"/>
    <col min="10" max="11" width="5.42578125" style="4" customWidth="1"/>
    <col min="12" max="13" width="8.85546875" style="4"/>
    <col min="14" max="14" width="32.85546875" style="4" bestFit="1" customWidth="1"/>
    <col min="15" max="15" width="14.140625" style="4" bestFit="1" customWidth="1"/>
    <col min="16" max="16384" width="8.85546875" style="4"/>
  </cols>
  <sheetData>
    <row r="1" spans="1:11" ht="16.7" customHeight="1" x14ac:dyDescent="0.6"/>
    <row r="2" spans="1:11" ht="27" customHeight="1" x14ac:dyDescent="0.6">
      <c r="A2" s="11"/>
      <c r="B2" s="11"/>
      <c r="C2" s="85" t="s">
        <v>132</v>
      </c>
      <c r="D2" s="85"/>
      <c r="E2" s="85"/>
      <c r="F2" s="85"/>
      <c r="G2" s="85"/>
      <c r="H2" s="85"/>
      <c r="I2" s="85"/>
      <c r="J2" s="11"/>
      <c r="K2" s="11"/>
    </row>
    <row r="3" spans="1:11" ht="29.45" customHeight="1" x14ac:dyDescent="0.6">
      <c r="A3" s="11"/>
      <c r="C3" s="84"/>
      <c r="D3" s="84"/>
      <c r="E3" s="84"/>
      <c r="F3" s="84"/>
      <c r="G3" s="84"/>
      <c r="H3" s="84"/>
      <c r="K3" s="11"/>
    </row>
    <row r="4" spans="1:11" ht="24.6" customHeight="1" x14ac:dyDescent="0.6">
      <c r="A4" s="11"/>
      <c r="C4" s="84" t="s">
        <v>53</v>
      </c>
      <c r="D4" s="84"/>
      <c r="E4" s="84"/>
      <c r="F4" s="84"/>
      <c r="G4" s="84"/>
      <c r="H4" s="84"/>
      <c r="K4" s="11"/>
    </row>
    <row r="5" spans="1:11" ht="24.6" customHeight="1" x14ac:dyDescent="0.6">
      <c r="A5" s="11"/>
      <c r="C5" s="87" t="s">
        <v>127</v>
      </c>
      <c r="D5" s="87"/>
      <c r="E5" s="87"/>
      <c r="F5" s="87"/>
      <c r="G5" s="87"/>
      <c r="H5" s="87"/>
      <c r="I5" s="87"/>
      <c r="K5" s="11"/>
    </row>
    <row r="6" spans="1:11" ht="16.7" customHeight="1" x14ac:dyDescent="0.6">
      <c r="A6" s="11"/>
      <c r="C6" s="88" t="s">
        <v>128</v>
      </c>
      <c r="D6" s="88"/>
      <c r="E6" s="88"/>
      <c r="F6" s="88"/>
      <c r="G6" s="88"/>
      <c r="H6" s="88"/>
      <c r="I6" s="88"/>
      <c r="K6" s="11"/>
    </row>
    <row r="7" spans="1:11" ht="16.7" customHeight="1" x14ac:dyDescent="0.6">
      <c r="A7" s="11"/>
      <c r="C7" s="76" t="s">
        <v>107</v>
      </c>
      <c r="D7" s="56" t="str">
        <f>' Transição_2026-2033'!G9</f>
        <v>SIMPLES NACIONAL</v>
      </c>
      <c r="E7" s="76" t="s">
        <v>106</v>
      </c>
      <c r="F7" s="77" t="str">
        <f>Comparativo_por_Regime!E11</f>
        <v>PRODUTO</v>
      </c>
      <c r="G7" s="76" t="s">
        <v>90</v>
      </c>
      <c r="H7" s="78" t="str">
        <f>Calculadora_Simples!E10</f>
        <v>Padrão</v>
      </c>
      <c r="I7" s="5"/>
      <c r="K7" s="11"/>
    </row>
    <row r="8" spans="1:11" ht="16.7" customHeight="1" x14ac:dyDescent="0.6">
      <c r="A8" s="11"/>
      <c r="C8" s="76" t="s">
        <v>108</v>
      </c>
      <c r="D8" s="56">
        <f>Comparativo_por_Regime!E10</f>
        <v>10000</v>
      </c>
      <c r="E8" s="76" t="s">
        <v>49</v>
      </c>
      <c r="F8" s="77">
        <f>D8*12</f>
        <v>120000</v>
      </c>
      <c r="G8" s="46"/>
      <c r="H8" s="47"/>
      <c r="I8" s="48"/>
      <c r="K8" s="11"/>
    </row>
    <row r="9" spans="1:11" ht="16.7" customHeight="1" x14ac:dyDescent="0.6">
      <c r="A9" s="11"/>
      <c r="C9" s="5"/>
      <c r="D9" s="5"/>
      <c r="E9" s="5"/>
      <c r="F9" s="5"/>
      <c r="G9" s="49"/>
      <c r="H9" s="5"/>
      <c r="I9" s="5"/>
      <c r="K9" s="11"/>
    </row>
    <row r="10" spans="1:11" ht="16.7" customHeight="1" x14ac:dyDescent="0.6">
      <c r="A10" s="11"/>
      <c r="C10" s="5"/>
      <c r="D10" s="5"/>
      <c r="E10" s="5"/>
      <c r="F10" s="5"/>
      <c r="G10" s="5"/>
      <c r="H10" s="5"/>
      <c r="I10" s="5"/>
      <c r="K10" s="11"/>
    </row>
    <row r="11" spans="1:11" ht="16.7" customHeight="1" x14ac:dyDescent="0.6">
      <c r="A11" s="11"/>
      <c r="C11" s="5"/>
      <c r="D11" s="5"/>
      <c r="E11" s="5"/>
      <c r="F11" s="5"/>
      <c r="G11" s="5"/>
      <c r="H11" s="5"/>
      <c r="I11" s="5"/>
      <c r="K11" s="11"/>
    </row>
    <row r="12" spans="1:11" ht="16.7" customHeight="1" x14ac:dyDescent="0.6">
      <c r="A12" s="11"/>
      <c r="C12" s="5"/>
      <c r="D12" s="5"/>
      <c r="E12" s="5"/>
      <c r="F12" s="5"/>
      <c r="G12" s="5"/>
      <c r="H12" s="5"/>
      <c r="I12" s="5"/>
      <c r="K12" s="11"/>
    </row>
    <row r="13" spans="1:11" ht="16.7" customHeight="1" x14ac:dyDescent="0.6">
      <c r="A13" s="11"/>
      <c r="C13" s="5"/>
      <c r="D13" s="5"/>
      <c r="E13" s="5"/>
      <c r="F13" s="5"/>
      <c r="G13" s="5"/>
      <c r="H13" s="5"/>
      <c r="I13" s="5"/>
      <c r="K13" s="11"/>
    </row>
    <row r="14" spans="1:11" ht="16.7" customHeight="1" x14ac:dyDescent="0.6">
      <c r="A14" s="11"/>
      <c r="C14" s="5"/>
      <c r="D14" s="5"/>
      <c r="E14" s="5"/>
      <c r="F14" s="5"/>
      <c r="G14" s="5"/>
      <c r="H14" s="5"/>
      <c r="I14" s="5"/>
      <c r="K14" s="11"/>
    </row>
    <row r="15" spans="1:11" ht="16.7" customHeight="1" x14ac:dyDescent="0.6">
      <c r="A15" s="11"/>
      <c r="C15" s="5"/>
      <c r="D15" s="5"/>
      <c r="E15" s="5"/>
      <c r="F15" s="5"/>
      <c r="G15" s="5"/>
      <c r="H15" s="5"/>
      <c r="I15" s="5"/>
      <c r="K15" s="11"/>
    </row>
    <row r="16" spans="1:11" ht="16.7" customHeight="1" x14ac:dyDescent="0.6">
      <c r="A16" s="11"/>
      <c r="C16" s="5"/>
      <c r="D16" s="5"/>
      <c r="E16" s="5"/>
      <c r="F16" s="5"/>
      <c r="G16" s="5"/>
      <c r="H16" s="5"/>
      <c r="I16" s="5"/>
      <c r="K16" s="11"/>
    </row>
    <row r="17" spans="1:11" ht="16.7" customHeight="1" x14ac:dyDescent="0.6">
      <c r="A17" s="11"/>
      <c r="C17" s="5"/>
      <c r="D17" s="5"/>
      <c r="E17" s="5"/>
      <c r="F17" s="5"/>
      <c r="G17" s="5"/>
      <c r="H17" s="5"/>
      <c r="I17" s="5"/>
      <c r="K17" s="11"/>
    </row>
    <row r="18" spans="1:11" ht="16.7" customHeight="1" x14ac:dyDescent="0.6">
      <c r="A18" s="11"/>
      <c r="C18" s="5"/>
      <c r="D18" s="5"/>
      <c r="E18" s="5"/>
      <c r="F18" s="5"/>
      <c r="G18" s="5"/>
      <c r="H18" s="5"/>
      <c r="I18" s="5"/>
      <c r="K18" s="11"/>
    </row>
    <row r="19" spans="1:11" ht="16.7" customHeight="1" x14ac:dyDescent="0.6">
      <c r="A19" s="11"/>
      <c r="C19" s="5"/>
      <c r="D19" s="5"/>
      <c r="E19" s="5"/>
      <c r="F19" s="5"/>
      <c r="G19" s="5"/>
      <c r="H19" s="5"/>
      <c r="I19" s="5"/>
      <c r="K19" s="11"/>
    </row>
    <row r="20" spans="1:11" ht="16.7" customHeight="1" x14ac:dyDescent="0.6">
      <c r="A20" s="11"/>
      <c r="C20" s="5"/>
      <c r="D20" s="5"/>
      <c r="E20" s="5"/>
      <c r="F20" s="5"/>
      <c r="G20" s="5"/>
      <c r="H20" s="5"/>
      <c r="I20" s="5"/>
      <c r="K20" s="11"/>
    </row>
    <row r="21" spans="1:11" ht="16.7" customHeight="1" x14ac:dyDescent="0.6">
      <c r="A21" s="11"/>
      <c r="C21" s="5"/>
      <c r="D21" s="5"/>
      <c r="E21" s="5"/>
      <c r="F21" s="5"/>
      <c r="G21" s="5"/>
      <c r="H21" s="5"/>
      <c r="I21" s="5"/>
      <c r="K21" s="11"/>
    </row>
    <row r="22" spans="1:11" ht="16.7" customHeight="1" x14ac:dyDescent="0.6">
      <c r="A22" s="11"/>
      <c r="C22" s="5"/>
      <c r="D22" s="5"/>
      <c r="E22" s="5"/>
      <c r="F22" s="5"/>
      <c r="G22" s="5"/>
      <c r="H22" s="5"/>
      <c r="I22" s="5"/>
      <c r="K22" s="11"/>
    </row>
    <row r="23" spans="1:11" ht="16.7" customHeight="1" x14ac:dyDescent="0.6">
      <c r="A23" s="11"/>
      <c r="C23" s="5"/>
      <c r="D23" s="5"/>
      <c r="E23" s="5"/>
      <c r="F23" s="5"/>
      <c r="G23" s="5"/>
      <c r="H23" s="5"/>
      <c r="I23" s="5"/>
      <c r="K23" s="11"/>
    </row>
    <row r="24" spans="1:11" ht="16.7" customHeight="1" x14ac:dyDescent="0.6">
      <c r="A24" s="11"/>
      <c r="C24" s="5"/>
      <c r="D24" s="5"/>
      <c r="E24" s="5"/>
      <c r="F24" s="5"/>
      <c r="G24" s="5"/>
      <c r="H24" s="5"/>
      <c r="I24" s="5"/>
      <c r="K24" s="11"/>
    </row>
    <row r="25" spans="1:11" ht="16.7" customHeight="1" x14ac:dyDescent="0.6">
      <c r="A25" s="11"/>
      <c r="C25" s="5"/>
      <c r="D25" s="5"/>
      <c r="E25" s="5"/>
      <c r="F25" s="5"/>
      <c r="G25" s="5"/>
      <c r="H25" s="5"/>
      <c r="I25" s="5"/>
      <c r="K25" s="11"/>
    </row>
    <row r="26" spans="1:11" ht="16.7" customHeight="1" x14ac:dyDescent="0.6">
      <c r="A26" s="11"/>
      <c r="C26" s="5"/>
      <c r="D26" s="5"/>
      <c r="E26" s="5"/>
      <c r="F26" s="5"/>
      <c r="G26" s="5"/>
      <c r="H26" s="5"/>
      <c r="I26" s="5"/>
      <c r="K26" s="11"/>
    </row>
    <row r="27" spans="1:11" ht="16.7" customHeight="1" x14ac:dyDescent="0.6">
      <c r="A27" s="11"/>
      <c r="C27" s="5"/>
      <c r="D27" s="5"/>
      <c r="E27" s="5"/>
      <c r="F27" s="5"/>
      <c r="G27" s="5"/>
      <c r="H27" s="5"/>
      <c r="I27" s="5"/>
      <c r="K27" s="11"/>
    </row>
    <row r="28" spans="1:11" ht="16.7" customHeight="1" x14ac:dyDescent="0.6">
      <c r="A28" s="11"/>
      <c r="C28" s="5"/>
      <c r="D28" s="5"/>
      <c r="E28" s="5"/>
      <c r="F28" s="5"/>
      <c r="G28" s="5"/>
      <c r="H28" s="5"/>
      <c r="I28" s="5"/>
      <c r="K28" s="11"/>
    </row>
    <row r="29" spans="1:11" ht="16.7" customHeight="1" x14ac:dyDescent="0.6">
      <c r="A29" s="11"/>
      <c r="C29" s="5"/>
      <c r="D29" s="5"/>
      <c r="E29" s="5"/>
      <c r="F29" s="5"/>
      <c r="G29" s="5"/>
      <c r="H29" s="5"/>
      <c r="I29" s="5"/>
      <c r="K29" s="11"/>
    </row>
    <row r="30" spans="1:11" ht="16.7" customHeight="1" x14ac:dyDescent="0.6">
      <c r="A30" s="11"/>
      <c r="C30" s="5"/>
      <c r="D30" s="5"/>
      <c r="E30" s="5"/>
      <c r="F30" s="5"/>
      <c r="G30" s="5"/>
      <c r="H30" s="5"/>
      <c r="I30" s="5"/>
      <c r="K30" s="11"/>
    </row>
    <row r="31" spans="1:11" ht="16.7" customHeight="1" x14ac:dyDescent="0.6">
      <c r="A31" s="11"/>
      <c r="C31" s="5"/>
      <c r="D31" s="5"/>
      <c r="E31" s="5"/>
      <c r="F31" s="5"/>
      <c r="G31" s="5"/>
      <c r="H31" s="5"/>
      <c r="I31" s="5"/>
      <c r="K31" s="11"/>
    </row>
    <row r="32" spans="1:11" ht="16.7" customHeight="1" x14ac:dyDescent="0.6">
      <c r="A32" s="11"/>
      <c r="C32" s="5"/>
      <c r="D32" s="5"/>
      <c r="E32" s="5"/>
      <c r="F32" s="5"/>
      <c r="G32" s="5"/>
      <c r="H32" s="5"/>
      <c r="I32" s="5"/>
      <c r="K32" s="11"/>
    </row>
    <row r="33" spans="1:11" ht="16.7" customHeight="1" x14ac:dyDescent="0.6">
      <c r="A33" s="11"/>
      <c r="C33" s="5"/>
      <c r="D33" s="5"/>
      <c r="E33" s="5"/>
      <c r="F33" s="5"/>
      <c r="G33" s="5"/>
      <c r="H33" s="5"/>
      <c r="I33" s="5"/>
      <c r="K33" s="11"/>
    </row>
    <row r="34" spans="1:11" ht="16.7" customHeight="1" x14ac:dyDescent="0.6">
      <c r="A34" s="11"/>
      <c r="C34" s="5"/>
      <c r="D34" s="5"/>
      <c r="E34" s="5"/>
      <c r="F34" s="5"/>
      <c r="G34" s="5"/>
      <c r="H34" s="5"/>
      <c r="I34" s="5"/>
      <c r="K34" s="11"/>
    </row>
    <row r="35" spans="1:11" ht="16.7" customHeight="1" x14ac:dyDescent="0.6">
      <c r="A35" s="11"/>
      <c r="C35" s="5"/>
      <c r="D35" s="5"/>
      <c r="E35" s="5"/>
      <c r="F35" s="5"/>
      <c r="G35" s="5"/>
      <c r="H35" s="5"/>
      <c r="I35" s="5"/>
      <c r="K35" s="11"/>
    </row>
    <row r="36" spans="1:11" ht="16.7" customHeight="1" x14ac:dyDescent="0.6">
      <c r="A36" s="11"/>
      <c r="C36" s="5"/>
      <c r="D36" s="5"/>
      <c r="E36" s="5"/>
      <c r="F36" s="5"/>
      <c r="G36" s="5"/>
      <c r="H36" s="5"/>
      <c r="I36" s="5"/>
      <c r="K36" s="11"/>
    </row>
    <row r="37" spans="1:11" ht="16.7" customHeight="1" x14ac:dyDescent="0.6">
      <c r="A37" s="11"/>
      <c r="C37" s="5"/>
      <c r="D37" s="5"/>
      <c r="E37" s="5"/>
      <c r="F37" s="5"/>
      <c r="G37" s="5"/>
      <c r="H37" s="5"/>
      <c r="I37" s="5"/>
      <c r="K37" s="11"/>
    </row>
    <row r="38" spans="1:11" ht="16.7" customHeight="1" x14ac:dyDescent="0.6">
      <c r="A38" s="11"/>
      <c r="K38" s="11"/>
    </row>
    <row r="39" spans="1:11" ht="19.350000000000001" customHeight="1" x14ac:dyDescent="0.6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</row>
    <row r="40" spans="1:11" ht="16.7" customHeight="1" x14ac:dyDescent="0.6"/>
    <row r="41" spans="1:11" ht="16.7" customHeight="1" x14ac:dyDescent="0.6"/>
    <row r="42" spans="1:11" ht="16.7" customHeight="1" x14ac:dyDescent="0.6"/>
    <row r="43" spans="1:11" ht="16.7" customHeight="1" x14ac:dyDescent="0.6"/>
    <row r="44" spans="1:11" ht="16.7" customHeight="1" x14ac:dyDescent="0.6"/>
    <row r="45" spans="1:11" ht="16.7" customHeight="1" x14ac:dyDescent="0.6"/>
    <row r="46" spans="1:11" ht="16.7" customHeight="1" x14ac:dyDescent="0.6"/>
    <row r="47" spans="1:11" ht="16.7" customHeight="1" x14ac:dyDescent="0.6"/>
    <row r="48" spans="1:11" ht="16.7" customHeight="1" x14ac:dyDescent="0.6"/>
    <row r="49" ht="16.7" customHeight="1" x14ac:dyDescent="0.6"/>
    <row r="50" ht="16.7" customHeight="1" x14ac:dyDescent="0.6"/>
    <row r="51" ht="16.7" customHeight="1" x14ac:dyDescent="0.6"/>
    <row r="52" ht="16.7" customHeight="1" x14ac:dyDescent="0.6"/>
    <row r="53" ht="16.7" customHeight="1" x14ac:dyDescent="0.6"/>
    <row r="54" ht="16.7" customHeight="1" x14ac:dyDescent="0.6"/>
    <row r="55" ht="16.7" customHeight="1" x14ac:dyDescent="0.6"/>
    <row r="56" ht="16.7" customHeight="1" x14ac:dyDescent="0.6"/>
  </sheetData>
  <sheetProtection formatCells="0" formatColumns="0" formatRows="0" insertColumns="0" insertRows="0" deleteColumns="0" deleteRows="0"/>
  <mergeCells count="5">
    <mergeCell ref="C2:I2"/>
    <mergeCell ref="C3:H3"/>
    <mergeCell ref="C4:H4"/>
    <mergeCell ref="C5:I5"/>
    <mergeCell ref="C6:I6"/>
  </mergeCells>
  <pageMargins left="0.75" right="0.75" top="1" bottom="1" header="0.5" footer="0.5"/>
  <pageSetup paperSize="9" orientation="portrait" r:id="rId1"/>
  <ignoredErrors>
    <ignoredError sqref="D7:D8 F7:F8 H7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CBEF-E396-47A0-B167-A46C6ECEEE0C}">
  <sheetPr codeName="Planilha8"/>
  <dimension ref="A1:J13"/>
  <sheetViews>
    <sheetView workbookViewId="0">
      <selection activeCell="E16" sqref="E16"/>
    </sheetView>
  </sheetViews>
  <sheetFormatPr defaultColWidth="8.85546875" defaultRowHeight="15" x14ac:dyDescent="0.25"/>
  <cols>
    <col min="1" max="1" width="21.7109375" customWidth="1"/>
    <col min="2" max="2" width="11.85546875" customWidth="1"/>
    <col min="9" max="9" width="25.140625" customWidth="1"/>
    <col min="10" max="10" width="12.140625" customWidth="1"/>
  </cols>
  <sheetData>
    <row r="1" spans="1:10" x14ac:dyDescent="0.25">
      <c r="A1" s="28" t="s">
        <v>109</v>
      </c>
      <c r="D1" s="28">
        <v>2026</v>
      </c>
      <c r="E1" s="29">
        <f>' Transição_2026-2033'!E17</f>
        <v>6</v>
      </c>
      <c r="F1" s="29">
        <f>' Transição_2026-2033'!F17</f>
        <v>20.172000000000004</v>
      </c>
      <c r="I1" t="s">
        <v>120</v>
      </c>
      <c r="J1" s="37">
        <f>Simulador_de_Créditos!F23</f>
        <v>5.5327102803738315E-2</v>
      </c>
    </row>
    <row r="2" spans="1:10" x14ac:dyDescent="0.25">
      <c r="A2" s="28" t="s">
        <v>96</v>
      </c>
      <c r="B2" s="30">
        <f>IF(Dashboard!$D$7="LUCRO REAL",Comparativo_por_Regime!E22,(IF(Dashboard!$D$7="LUCRO PRESUMIDO",Comparativo_por_Regime!F22,IF(Dashboard!$D$7="SIMPLES NACIONAL",Comparativo_por_Regime!G22,0))))/100</f>
        <v>0.06</v>
      </c>
      <c r="D2" s="28">
        <v>2027</v>
      </c>
      <c r="E2" s="29">
        <f>' Transição_2026-2033'!E18</f>
        <v>6</v>
      </c>
      <c r="F2" s="29">
        <f>' Transição_2026-2033'!F18</f>
        <v>1056</v>
      </c>
      <c r="I2" t="s">
        <v>121</v>
      </c>
      <c r="J2" s="37">
        <f>Simulador_de_Créditos!G23</f>
        <v>0.26500000000000001</v>
      </c>
    </row>
    <row r="3" spans="1:10" x14ac:dyDescent="0.25">
      <c r="A3" s="28" t="s">
        <v>126</v>
      </c>
      <c r="B3" s="30">
        <f>Comparativo_por_Regime!H22/100</f>
        <v>0.26500000000000001</v>
      </c>
      <c r="D3" s="28">
        <v>2028</v>
      </c>
      <c r="E3" s="29">
        <f>' Transição_2026-2033'!E19</f>
        <v>6</v>
      </c>
      <c r="F3" s="29">
        <f>' Transição_2026-2033'!F19</f>
        <v>1056</v>
      </c>
    </row>
    <row r="4" spans="1:10" x14ac:dyDescent="0.25">
      <c r="D4" s="28">
        <v>2029</v>
      </c>
      <c r="E4" s="29">
        <f>' Transição_2026-2033'!E20</f>
        <v>6</v>
      </c>
      <c r="F4" s="29">
        <f>' Transição_2026-2033'!F20</f>
        <v>1268.4000000000001</v>
      </c>
      <c r="I4" t="s">
        <v>122</v>
      </c>
      <c r="J4" s="32">
        <f>Simulador_de_Créditos!F22</f>
        <v>2960</v>
      </c>
    </row>
    <row r="5" spans="1:10" x14ac:dyDescent="0.25">
      <c r="A5" s="28" t="s">
        <v>110</v>
      </c>
      <c r="D5" s="28">
        <v>2030</v>
      </c>
      <c r="E5" s="29">
        <f>' Transição_2026-2033'!E21</f>
        <v>6</v>
      </c>
      <c r="F5" s="29">
        <f>' Transição_2026-2033'!F21</f>
        <v>1480.8</v>
      </c>
      <c r="I5" t="s">
        <v>123</v>
      </c>
      <c r="J5" s="32">
        <f>Simulador_de_Créditos!G22</f>
        <v>14177.5</v>
      </c>
    </row>
    <row r="6" spans="1:10" x14ac:dyDescent="0.25">
      <c r="A6" s="28" t="s">
        <v>96</v>
      </c>
      <c r="B6" s="30">
        <f>IF(Dashboard!$D$7="LUCRO REAL",Comparativo_por_Regime!E23,(IF(Dashboard!$D$7="LUCRO PRESUMIDO",Comparativo_por_Regime!F23,IF(Dashboard!$D$7="SIMPLES NACIONAL",Comparativo_por_Regime!G23,0))))/100</f>
        <v>0.06</v>
      </c>
      <c r="D6" s="28">
        <v>2031</v>
      </c>
      <c r="E6" s="29">
        <f>' Transição_2026-2033'!E22</f>
        <v>6</v>
      </c>
      <c r="F6" s="29">
        <f>' Transição_2026-2033'!F22</f>
        <v>1693.1999999999998</v>
      </c>
      <c r="I6" t="s">
        <v>124</v>
      </c>
      <c r="J6" s="32">
        <f>J5-J4</f>
        <v>11217.5</v>
      </c>
    </row>
    <row r="7" spans="1:10" x14ac:dyDescent="0.25">
      <c r="A7" s="28" t="s">
        <v>126</v>
      </c>
      <c r="B7" s="30">
        <f>Comparativo_por_Regime!H23/100</f>
        <v>0.106</v>
      </c>
      <c r="D7" s="28">
        <v>2032</v>
      </c>
      <c r="E7" s="29">
        <f>' Transição_2026-2033'!E23</f>
        <v>6</v>
      </c>
      <c r="F7" s="29">
        <f>' Transição_2026-2033'!F23</f>
        <v>1905.6</v>
      </c>
      <c r="I7" t="s">
        <v>125</v>
      </c>
      <c r="J7" s="33">
        <f>J6*12</f>
        <v>134610</v>
      </c>
    </row>
    <row r="8" spans="1:10" x14ac:dyDescent="0.25">
      <c r="D8" s="28">
        <v>2033</v>
      </c>
      <c r="E8" s="29">
        <f>' Transição_2026-2033'!E24</f>
        <v>6</v>
      </c>
      <c r="F8" s="29">
        <f>' Transição_2026-2033'!F24</f>
        <v>3180</v>
      </c>
      <c r="J8" s="32"/>
    </row>
    <row r="9" spans="1:10" x14ac:dyDescent="0.25">
      <c r="A9" s="28" t="s">
        <v>114</v>
      </c>
      <c r="J9" s="32"/>
    </row>
    <row r="10" spans="1:10" x14ac:dyDescent="0.25">
      <c r="A10" s="28" t="s">
        <v>115</v>
      </c>
      <c r="B10" s="32">
        <f>Dashboard!D8</f>
        <v>10000</v>
      </c>
    </row>
    <row r="11" spans="1:10" x14ac:dyDescent="0.25">
      <c r="A11" s="28" t="s">
        <v>116</v>
      </c>
      <c r="B11" s="34">
        <f>B10*B6</f>
        <v>600</v>
      </c>
    </row>
    <row r="12" spans="1:10" x14ac:dyDescent="0.25">
      <c r="A12" s="28" t="s">
        <v>117</v>
      </c>
      <c r="B12" s="34">
        <f>B10*B7</f>
        <v>1060</v>
      </c>
    </row>
    <row r="13" spans="1:10" x14ac:dyDescent="0.25">
      <c r="A13" s="28" t="s">
        <v>118</v>
      </c>
      <c r="B13" s="34">
        <f>B11-B12</f>
        <v>-460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Instruções</vt:lpstr>
      <vt:lpstr>Configurações</vt:lpstr>
      <vt:lpstr>Calculadora_Simples</vt:lpstr>
      <vt:lpstr>Comparativo_por_Regime</vt:lpstr>
      <vt:lpstr>Simulador_de_Créditos</vt:lpstr>
      <vt:lpstr> Transição_2026-2033</vt:lpstr>
      <vt:lpstr>Dashboard</vt:lpstr>
      <vt:lpstr>Base_Dados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pc30-bene@hotmail.com</cp:lastModifiedBy>
  <dcterms:created xsi:type="dcterms:W3CDTF">2025-12-12T19:11:47Z</dcterms:created>
  <dcterms:modified xsi:type="dcterms:W3CDTF">2026-06-19T14:58:48Z</dcterms:modified>
</cp:coreProperties>
</file>