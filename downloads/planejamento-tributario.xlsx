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3874b7ea1cbbe03/Área de Trabalho/download/"/>
    </mc:Choice>
  </mc:AlternateContent>
  <xr:revisionPtr revIDLastSave="52" documentId="13_ncr:1_{8E33B3B7-C3E0-4A0C-B98A-5A861CA929D9}" xr6:coauthVersionLast="47" xr6:coauthVersionMax="47" xr10:uidLastSave="{21E46847-D582-44C2-AE38-54BAAEF45EBE}"/>
  <bookViews>
    <workbookView xWindow="-120" yWindow="-120" windowWidth="24240" windowHeight="13140" tabRatio="500" activeTab="3" xr2:uid="{00000000-000D-0000-FFFF-FFFF00000000}"/>
  </bookViews>
  <sheets>
    <sheet name="Simples Nacional (ref.)" sheetId="2" r:id="rId1"/>
    <sheet name="Lucro Presumido (simulação)" sheetId="3" r:id="rId2"/>
    <sheet name="Comparativo" sheetId="4" r:id="rId3"/>
    <sheet name="Dashboard" sheetId="1" r:id="rId4"/>
  </sheets>
  <definedNames>
    <definedName name="_xlnm.Print_Area" localSheetId="3">Dashboard!$A$1:$L$53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0" i="3" l="1"/>
  <c r="M23" i="3" s="1"/>
  <c r="L20" i="3"/>
  <c r="L23" i="3" s="1"/>
  <c r="K20" i="3"/>
  <c r="J20" i="3"/>
  <c r="J22" i="3" s="1"/>
  <c r="I20" i="3"/>
  <c r="I23" i="3" s="1"/>
  <c r="H20" i="3"/>
  <c r="G20" i="3"/>
  <c r="G21" i="3" s="1"/>
  <c r="F20" i="3"/>
  <c r="F22" i="3" s="1"/>
  <c r="E20" i="3"/>
  <c r="D20" i="3"/>
  <c r="D23" i="3" s="1"/>
  <c r="C20" i="3"/>
  <c r="C21" i="3" s="1"/>
  <c r="B20" i="3"/>
  <c r="B23" i="3" s="1"/>
  <c r="M6" i="2"/>
  <c r="L6" i="2"/>
  <c r="K6" i="2"/>
  <c r="J6" i="2"/>
  <c r="I6" i="2"/>
  <c r="H6" i="2"/>
  <c r="G6" i="2"/>
  <c r="F6" i="2"/>
  <c r="E6" i="2"/>
  <c r="D6" i="2"/>
  <c r="C6" i="2"/>
  <c r="B6" i="2"/>
  <c r="N4" i="2"/>
  <c r="C31" i="3" l="1"/>
  <c r="D31" i="3" s="1"/>
  <c r="C30" i="3"/>
  <c r="I30" i="3" s="1"/>
  <c r="J30" i="3" s="1"/>
  <c r="H21" i="3"/>
  <c r="K22" i="3"/>
  <c r="L21" i="3"/>
  <c r="C29" i="3"/>
  <c r="I29" i="3" s="1"/>
  <c r="J29" i="3" s="1"/>
  <c r="C22" i="3"/>
  <c r="F23" i="3"/>
  <c r="N6" i="2"/>
  <c r="N8" i="2" s="1"/>
  <c r="B4" i="4" s="1"/>
  <c r="D7" i="1" s="1"/>
  <c r="C28" i="3"/>
  <c r="I28" i="3" s="1"/>
  <c r="D21" i="3"/>
  <c r="G22" i="3"/>
  <c r="J23" i="3"/>
  <c r="D30" i="3"/>
  <c r="D29" i="3"/>
  <c r="N20" i="3"/>
  <c r="A7" i="1" s="1"/>
  <c r="E21" i="3"/>
  <c r="I21" i="3"/>
  <c r="M21" i="3"/>
  <c r="D22" i="3"/>
  <c r="H22" i="3"/>
  <c r="L22" i="3"/>
  <c r="C23" i="3"/>
  <c r="G23" i="3"/>
  <c r="K23" i="3"/>
  <c r="B21" i="3"/>
  <c r="F21" i="3"/>
  <c r="J21" i="3"/>
  <c r="E22" i="3"/>
  <c r="I22" i="3"/>
  <c r="M22" i="3"/>
  <c r="H23" i="3"/>
  <c r="K21" i="3"/>
  <c r="B22" i="3"/>
  <c r="E23" i="3"/>
  <c r="N22" i="3" l="1"/>
  <c r="C37" i="3" s="1"/>
  <c r="L24" i="3"/>
  <c r="I31" i="3"/>
  <c r="J31" i="3" s="1"/>
  <c r="K24" i="3"/>
  <c r="G24" i="3"/>
  <c r="F24" i="3"/>
  <c r="J24" i="3"/>
  <c r="D28" i="3"/>
  <c r="D32" i="3" s="1"/>
  <c r="C32" i="3"/>
  <c r="B10" i="4"/>
  <c r="D10" i="1" s="1"/>
  <c r="H24" i="3"/>
  <c r="D24" i="3"/>
  <c r="N23" i="3"/>
  <c r="C38" i="3" s="1"/>
  <c r="B24" i="3"/>
  <c r="N21" i="3"/>
  <c r="C36" i="3" s="1"/>
  <c r="I24" i="3"/>
  <c r="J28" i="3"/>
  <c r="E24" i="3"/>
  <c r="F31" i="3"/>
  <c r="G31" i="3" s="1"/>
  <c r="E31" i="3"/>
  <c r="F29" i="3"/>
  <c r="G29" i="3" s="1"/>
  <c r="E29" i="3"/>
  <c r="C24" i="3"/>
  <c r="F30" i="3"/>
  <c r="G30" i="3" s="1"/>
  <c r="E30" i="3"/>
  <c r="M24" i="3"/>
  <c r="F28" i="3" l="1"/>
  <c r="G28" i="3" s="1"/>
  <c r="G32" i="3" s="1"/>
  <c r="I32" i="3"/>
  <c r="J32" i="3"/>
  <c r="C40" i="3" s="1"/>
  <c r="E28" i="3"/>
  <c r="E32" i="3" s="1"/>
  <c r="H30" i="3"/>
  <c r="H31" i="3"/>
  <c r="H29" i="3"/>
  <c r="N24" i="3"/>
  <c r="F32" i="3" l="1"/>
  <c r="H28" i="3"/>
  <c r="H32" i="3" s="1"/>
  <c r="C39" i="3" s="1"/>
  <c r="C41" i="3" s="1"/>
  <c r="B5" i="4" s="1"/>
  <c r="B11" i="4" s="1"/>
  <c r="G10" i="1" s="1"/>
  <c r="G7" i="1" l="1"/>
  <c r="B6" i="4"/>
  <c r="J7" i="1" s="1"/>
  <c r="J10" i="1" l="1"/>
  <c r="B7" i="4"/>
  <c r="A10" i="1" s="1"/>
</calcChain>
</file>

<file path=xl/sharedStrings.xml><?xml version="1.0" encoding="utf-8"?>
<sst xmlns="http://schemas.openxmlformats.org/spreadsheetml/2006/main" count="111" uniqueCount="95">
  <si>
    <t>DASHBOARD TRIBUTÁRIO — SIMPLES NACIONAL x LUCRO PRESUMIDO</t>
  </si>
  <si>
    <t>FATURAMENTO TOTAL (2025)</t>
  </si>
  <si>
    <t>TOTAL — SIMPLES NACIONAL</t>
  </si>
  <si>
    <t>TOTAL — LUCRO PRESUMIDO</t>
  </si>
  <si>
    <t>DIFERENÇA (LP vs SIMPLES)</t>
  </si>
  <si>
    <t>DIFERENÇA (%)</t>
  </si>
  <si>
    <t>CARGA EFETIVA — SIMPLES</t>
  </si>
  <si>
    <t>CARGA EFETIVA — LUCRO PRES.</t>
  </si>
  <si>
    <t>REGIME MAIS VANTAJOSO</t>
  </si>
  <si>
    <t>⚖️ Simples Nacional x Lucro Presumido — Total Anual</t>
  </si>
  <si>
    <t>🥧 Composição dos Tributos — Lucro Presumido</t>
  </si>
  <si>
    <t>📊 IRPJ + CSLL por Trimestre — Lucro Presumido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</si>
  <si>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</si>
  <si>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</si>
  <si>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</si>
  <si>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</si>
  <si>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</si>
  <si>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</si>
  <si>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</si>
  <si>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</si>
  <si>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</si>
  <si>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</si>
  <si>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</si>
  <si>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</si>
  <si>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</si>
  <si>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</si>
  <si>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Faturamento</t>
  </si>
  <si>
    <t>Alíquota efetiva DAS (%)</t>
  </si>
  <si>
    <t>dado original</t>
  </si>
  <si>
    <t>Imposto DAS (Simples)</t>
  </si>
  <si>
    <t>Observação: a alíquota efetiva do DAS já engloba, de forma unificada, IRPJ, CSLL, PIS, COFINS, CPP (INSS Patronal), ISS e/ou ICMS,</t>
  </si>
  <si>
    <t>PARÂMETROS E ALÍQUOTAS ADOTADAS</t>
  </si>
  <si>
    <t>Percentual de presunção — IRPJ (serviços em geral)</t>
  </si>
  <si>
    <t>Percentual de presunção — CSLL (serviços em geral)</t>
  </si>
  <si>
    <t>Alíquota IRPJ (sobre a base presumida)</t>
  </si>
  <si>
    <t>Adicional de IRPJ (sobre parcela que exceder o limite trimestral)</t>
  </si>
  <si>
    <t>Limite trimestral para incidência do adicional (R$ 20.000/mês x 3)</t>
  </si>
  <si>
    <t>Alíquota CSLL (sobre a base presumida)</t>
  </si>
  <si>
    <t>Alíquota PIS (regime cumulativo)</t>
  </si>
  <si>
    <t>Alíquota COFINS (regime cumulativo)</t>
  </si>
  <si>
    <t>Alíquota ISS (município — mesma alíquota já utilizada na planilha original)</t>
  </si>
  <si>
    <t>Folha de pagamento mensal estimada (preencher para calcular INSS Patronal)</t>
  </si>
  <si>
    <t>Alíquota INSS Patronal (CPP) sobre a folha</t>
  </si>
  <si>
    <t>Células em amarelo são premissas/parâmetros editáveis. Ajuste conforme a atividade real (CNAE) e o município da empresa.</t>
  </si>
  <si>
    <t>APURAÇÃO MENSAL (PIS, COFINS, ISS, INSS PATRONAL)</t>
  </si>
  <si>
    <t>PIS (cumulativo)</t>
  </si>
  <si>
    <t>COFINS (cumulativo)</t>
  </si>
  <si>
    <t>ISS</t>
  </si>
  <si>
    <t>Subtotal mensal (PIS+COFINS+ISS+CPP)</t>
  </si>
  <si>
    <t>APURAÇÃO TRIMESTRAL — IRPJ E CSLL (apuração legal trimestral no Lucro Presumido)</t>
  </si>
  <si>
    <t>Trimestre</t>
  </si>
  <si>
    <t>Período</t>
  </si>
  <si>
    <t>Receita do Trimestre</t>
  </si>
  <si>
    <t>Base Presunção IRPJ (32%)</t>
  </si>
  <si>
    <t>IRPJ (15%)</t>
  </si>
  <si>
    <t>Parcela Excedente ao Limite</t>
  </si>
  <si>
    <t>Adicional IRPJ (10%)</t>
  </si>
  <si>
    <t>IRPJ Total</t>
  </si>
  <si>
    <t>Base Presunção CSLL (32%)</t>
  </si>
  <si>
    <t>CSLL (9%)</t>
  </si>
  <si>
    <t>1º Trimestre</t>
  </si>
  <si>
    <t>Jan-Mar</t>
  </si>
  <si>
    <t>2º Trimestre</t>
  </si>
  <si>
    <t>Abr-Jun</t>
  </si>
  <si>
    <t>3º Trimestre</t>
  </si>
  <si>
    <t>Jul-Set</t>
  </si>
  <si>
    <t>4º Trimestre</t>
  </si>
  <si>
    <t>Out-Dez</t>
  </si>
  <si>
    <t>Total Anual</t>
  </si>
  <si>
    <t>IRPJ e CSLL são apurados trimestralmente por determinação legal (diferente de PIS/COFINS/ISS, que são mensais).</t>
  </si>
  <si>
    <t>TOTAL ANUAL DE TRIBUTOS — LUCRO PRESUMIDO</t>
  </si>
  <si>
    <t>PIS</t>
  </si>
  <si>
    <t>COFINS</t>
  </si>
  <si>
    <t>IRPJ (inclui adicional)</t>
  </si>
  <si>
    <t>CSLL</t>
  </si>
  <si>
    <t>TOTAL GERAL — LUCRO PRESUMIDO</t>
  </si>
  <si>
    <t>Regime Tributário</t>
  </si>
  <si>
    <t>Total Anual de Tributos</t>
  </si>
  <si>
    <t>Simples Nacional (regime atual)</t>
  </si>
  <si>
    <t>Lucro Presumido (simulado)</t>
  </si>
  <si>
    <t>Diferença (R$)</t>
  </si>
  <si>
    <t>Diferença (%)</t>
  </si>
  <si>
    <t>Carga tributária efetiva sobre o faturamento</t>
  </si>
  <si>
    <t>Simples Nacional</t>
  </si>
  <si>
    <t>Lucro Presumido</t>
  </si>
  <si>
    <t xml:space="preserve">
• Atividade não informada: foi adotado o percentual de presunção de 32% (IRPJ e CSLL)
• PIS/COFINS calculados pelo regime cumulativo (0,65% e 3%), padrão do Lucro Presumido.
• ISS calculado a 5%, mesma alíquota já utilizada na planilha original do Simples Nacional — confirmar a alíquota vigente no município.
</t>
  </si>
  <si>
    <t>⚠ PREMISSAS DA SIMULAÇÃO: presunção de 32% (IRPJ/CSLL) para 'serviços em geral' — ajustar conforme o CNAE real da empresa; PIS 0,65% e COFINS 3% no regime cumulativo; ISS a 5% (mesma alíquota da planilha original).</t>
  </si>
  <si>
    <t xml:space="preserve">CONCLUSÃO DA SIMULAÇÃO:
Com base no faturamento apurado (Jan a Ago/2026) e nas premissas descritas na aba 'Lucro Presumido (simulação)', a migração para o Lucro Presumido resultaria em carga tributária SUPERIOR à do Simples Nacional. Isso ocorre principalmente porque, no Lucro Presumido, o ISS passa a ser recolhido à parte (5%) e a soma de IRPJ + CSLL sobre a presunção de 32% tende a superar o que era pago de forma unificada no DAS.
</t>
  </si>
  <si>
    <t>conforme o Anexo do Simples Nacional em que a empresa está enquadrada. Anexo IV)</t>
  </si>
  <si>
    <t>FATURAMENTO E TRIBUTOS 2025 — ENQUADRAMENTO ATUAL: SIMPLES NACIONAL (dados de origem)</t>
  </si>
  <si>
    <t>TOTAL DE TRIBUTOS PAGOS NO SIMPLES NACIONAL (2025)</t>
  </si>
  <si>
    <t>SIMULAÇÃO — TRIBUTOS NO REGIME DE LUCRO PRESUMIDO (2025)</t>
  </si>
  <si>
    <t>COMPARATIVO — SIMPLES NACIONAL x LUCRO PRESUMIDO (2025)</t>
  </si>
  <si>
    <t>Ano-base 2025  |  Faturamento apurado de Jan a Ago  |</t>
  </si>
  <si>
    <t>📈 Evolução do Faturamento Mensal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</si>
</sst>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;[Red]&quot;(R$ &quot;#,##0\)"/>
    <numFmt numFmtId="165" formatCode="&quot;R$ &quot;#,##0.00;[Red]&quot;(R$ &quot;#,##0.00\)"/>
    <numFmt numFmtId="166" formatCode="0.0000%"/>
    <numFmt numFmtId="167" formatCode="&quot;R$&quot;\ #,##0.00_);[Red]\(&quot;R$&quot;\ #,###.00\)"/>
    <numFmt numFmtId="168" formatCode="#,##0.00_);\(#,##0.00\)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sz val="10"/>
      <color rgb="FFFFFFFF"/>
      <name val="Arial"/>
      <charset val="1"/>
    </font>
    <font>
      <b/>
      <sz val="18"/>
      <color rgb="FFFFFFFF"/>
      <name val="Arial"/>
      <charset val="1"/>
    </font>
    <font>
      <b/>
      <sz val="14"/>
      <color rgb="FFFFFFFF"/>
      <name val="Arial"/>
      <charset val="1"/>
    </font>
    <font>
      <b/>
      <sz val="12"/>
      <color rgb="FF1F4E78"/>
      <name val="Arial"/>
      <charset val="1"/>
    </font>
    <font>
      <i/>
      <sz val="9"/>
      <name val="Arial"/>
      <charset val="1"/>
    </font>
    <font>
      <b/>
      <sz val="13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sz val="11"/>
      <color rgb="FF008000"/>
      <name val="Arial"/>
      <charset val="1"/>
    </font>
    <font>
      <b/>
      <sz val="12"/>
      <color rgb="FFFFFFFF"/>
      <name val="Arial"/>
      <charset val="1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7F7F7F"/>
        <bgColor rgb="FF999999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9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5" fontId="9" fillId="9" borderId="1" xfId="0" applyNumberFormat="1" applyFont="1" applyFill="1" applyBorder="1"/>
    <xf numFmtId="0" fontId="7" fillId="0" borderId="0" xfId="0" applyFont="1"/>
    <xf numFmtId="9" fontId="10" fillId="10" borderId="1" xfId="0" applyNumberFormat="1" applyFont="1" applyFill="1" applyBorder="1" applyAlignment="1">
      <alignment horizontal="center" vertical="center" wrapText="1"/>
    </xf>
    <xf numFmtId="165" fontId="10" fillId="10" borderId="1" xfId="0" applyNumberFormat="1" applyFont="1" applyFill="1" applyBorder="1" applyAlignment="1">
      <alignment horizontal="center" vertical="center" wrapText="1"/>
    </xf>
    <xf numFmtId="10" fontId="10" fillId="10" borderId="1" xfId="0" applyNumberFormat="1" applyFont="1" applyFill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165" fontId="13" fillId="2" borderId="1" xfId="0" applyNumberFormat="1" applyFont="1" applyFill="1" applyBorder="1" applyAlignment="1">
      <alignment horizontal="center" vertical="center" wrapText="1"/>
    </xf>
    <xf numFmtId="10" fontId="9" fillId="9" borderId="1" xfId="0" applyNumberFormat="1" applyFont="1" applyFill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167" fontId="14" fillId="0" borderId="4" xfId="0" applyNumberFormat="1" applyFont="1" applyBorder="1" applyAlignment="1">
      <alignment horizontal="center" vertical="center" wrapText="1"/>
    </xf>
    <xf numFmtId="168" fontId="14" fillId="11" borderId="4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7" borderId="1" xfId="0" applyFont="1" applyFill="1" applyBorder="1"/>
    <xf numFmtId="0" fontId="9" fillId="9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left" vertical="center" indent="1"/>
    </xf>
    <xf numFmtId="0" fontId="7" fillId="8" borderId="0" xfId="0" applyFont="1" applyFill="1" applyAlignment="1">
      <alignment horizontal="left" vertical="center" wrapText="1"/>
    </xf>
    <xf numFmtId="10" fontId="4" fillId="6" borderId="0" xfId="0" applyNumberFormat="1" applyFont="1" applyFill="1" applyAlignment="1">
      <alignment horizontal="center" vertical="center" wrapText="1"/>
    </xf>
    <xf numFmtId="10" fontId="4" fillId="4" borderId="0" xfId="0" applyNumberFormat="1" applyFont="1" applyFill="1" applyAlignment="1">
      <alignment horizontal="center" vertical="center" wrapText="1"/>
    </xf>
    <xf numFmtId="10" fontId="4" fillId="5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3B3B3"/>
      <rgbColor rgb="FF7F7F7F"/>
      <rgbColor rgb="FF9999FF"/>
      <rgbColor rgb="FF7030A0"/>
      <rgbColor rgb="FFFCE4D6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Faturamento Mensal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'Lucro Presumido (simulação)'!$B$19:$M$19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'Lucro Presumido (simulação)'!$B$20:$M$20</c:f>
              <c:numCache>
                <c:formatCode>"R$ "#,##0.00;[Red]"(R$ "#,##0.00\)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C-4C03-BFB3-B5419EBD0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69138"/>
        <c:axId val="65144884"/>
      </c:barChart>
      <c:catAx>
        <c:axId val="882691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5144884"/>
        <c:crosses val="autoZero"/>
        <c:auto val="1"/>
        <c:lblAlgn val="ctr"/>
        <c:lblOffset val="100"/>
        <c:noMultiLvlLbl val="0"/>
      </c:catAx>
      <c:valAx>
        <c:axId val="651448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269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Total de Tributos por Regime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54823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024-48AE-9799-F72F4CF60D9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024-48AE-9799-F72F4CF60D90}"/>
              </c:ext>
            </c:extLst>
          </c:dPt>
          <c:dLbls>
            <c:dLbl>
              <c:idx val="0"/>
              <c:layout>
                <c:manualLayout>
                  <c:x val="0"/>
                  <c:y val="9.4107534530796129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24-48AE-9799-F72F4CF60D90}"/>
                </c:ext>
              </c:extLst>
            </c:dLbl>
            <c:dLbl>
              <c:idx val="1"/>
              <c:layout>
                <c:manualLayout>
                  <c:x val="-8.7278979950169675E-17"/>
                  <c:y val="1.4116130179619421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24-48AE-9799-F72F4CF60D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Comparativo!$A$4:$A$5</c:f>
              <c:strCache>
                <c:ptCount val="2"/>
                <c:pt idx="0">
                  <c:v>Simples Nacional (regime atual)</c:v>
                </c:pt>
                <c:pt idx="1">
                  <c:v>Lucro Presumido (simulado)</c:v>
                </c:pt>
              </c:strCache>
            </c:strRef>
          </c:cat>
          <c:val>
            <c:numRef>
              <c:f>Comparativo!$B$4:$B$5</c:f>
              <c:numCache>
                <c:formatCode>"R$ "#,##0.00;[Red]"(R$ "#,##0.00\)</c:formatCode>
                <c:ptCount val="2"/>
                <c:pt idx="0">
                  <c:v>14.259171129042</c:v>
                </c:pt>
                <c:pt idx="1">
                  <c:v>19.596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24-48AE-9799-F72F4CF60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1252"/>
        <c:axId val="47814182"/>
      </c:barChart>
      <c:catAx>
        <c:axId val="59712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7814182"/>
        <c:crosses val="autoZero"/>
        <c:auto val="1"/>
        <c:lblAlgn val="ctr"/>
        <c:lblOffset val="100"/>
        <c:noMultiLvlLbl val="0"/>
      </c:catAx>
      <c:valAx>
        <c:axId val="478141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971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Composição do Total — Lucro Presumido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96F-4293-AA03-B200B506E6F6}"/>
              </c:ext>
            </c:extLst>
          </c:dPt>
          <c:dPt>
            <c:idx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96F-4293-AA03-B200B506E6F6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96F-4293-AA03-B200B506E6F6}"/>
              </c:ext>
            </c:extLst>
          </c:dPt>
          <c:dPt>
            <c:idx val="3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96F-4293-AA03-B200B506E6F6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96F-4293-AA03-B200B506E6F6}"/>
              </c:ext>
            </c:extLst>
          </c:dPt>
          <c:dPt>
            <c:idx val="5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96F-4293-AA03-B200B506E6F6}"/>
              </c:ext>
            </c:extLst>
          </c:dPt>
          <c:dLbls>
            <c:dLbl>
              <c:idx val="0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295D22B2-D21B-41A9-A8B4-1253445D2BA1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[PORCENTAGEM]</a:t>
                    </a:fld>
                    <a:endParaRPr lang="pt-BR"/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96F-4293-AA03-B200B506E6F6}"/>
                </c:ext>
              </c:extLst>
            </c:dLbl>
            <c:dLbl>
              <c:idx val="1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6B44219C-B6D4-4DEA-AB50-4F29BF8CCA56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[PORCENTAGEM]</a:t>
                    </a:fld>
                    <a:endParaRPr lang="pt-BR"/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96F-4293-AA03-B200B506E6F6}"/>
                </c:ext>
              </c:extLst>
            </c:dLbl>
            <c:dLbl>
              <c:idx val="2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74FA56C4-29D2-4E39-9F22-AD31675F14EF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[PORCENTAGEM]</a:t>
                    </a:fld>
                    <a:endParaRPr lang="pt-BR"/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96F-4293-AA03-B200B506E6F6}"/>
                </c:ext>
              </c:extLst>
            </c:dLbl>
            <c:dLbl>
              <c:idx val="3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396054B6-CABB-48FD-8396-B9D5B37854D8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[PORCENTAGEM]</a:t>
                    </a:fld>
                    <a:endParaRPr lang="pt-BR"/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496F-4293-AA03-B200B506E6F6}"/>
                </c:ext>
              </c:extLst>
            </c:dLbl>
            <c:dLbl>
              <c:idx val="4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26DF194B-2618-44CA-845C-DC0E5B37DF3A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[PORCENTAGEM]</a:t>
                    </a:fld>
                    <a:endParaRPr lang="pt-BR"/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496F-4293-AA03-B200B506E6F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6F-4293-AA03-B200B506E6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'Lucro Presumido (simulação)'!$A$36:$A$40</c:f>
              <c:strCache>
                <c:ptCount val="5"/>
                <c:pt idx="0">
                  <c:v>PIS</c:v>
                </c:pt>
                <c:pt idx="1">
                  <c:v>COFINS</c:v>
                </c:pt>
                <c:pt idx="2">
                  <c:v>ISS</c:v>
                </c:pt>
                <c:pt idx="3">
                  <c:v>IRPJ (inclui adicional)</c:v>
                </c:pt>
                <c:pt idx="4">
                  <c:v>CSLL</c:v>
                </c:pt>
              </c:strCache>
            </c:strRef>
          </c:cat>
          <c:val>
            <c:numRef>
              <c:f>'Lucro Presumido (simulação)'!$C$36:$C$40</c:f>
              <c:numCache>
                <c:formatCode>"R$ "#,##0.00;[Red]"(R$ "#,##0.00\)</c:formatCode>
                <c:ptCount val="5"/>
                <c:pt idx="0">
                  <c:v>0.7799999999999998</c:v>
                </c:pt>
                <c:pt idx="1">
                  <c:v>3.5999999999999992</c:v>
                </c:pt>
                <c:pt idx="2">
                  <c:v>6</c:v>
                </c:pt>
                <c:pt idx="3">
                  <c:v>5.76</c:v>
                </c:pt>
                <c:pt idx="4">
                  <c:v>3.456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6F-4293-AA03-B200B506E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IRPJ e CSLL por Trimestre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'Lucro Presumido (simulação)'!$H$27</c:f>
              <c:strCache>
                <c:ptCount val="1"/>
                <c:pt idx="0">
                  <c:v>IRPJ Total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'Lucro Presumido (simulação)'!$A$28:$A$31</c:f>
              <c:strCache>
                <c:ptCount val="4"/>
                <c:pt idx="0">
                  <c:v>1º Trimestre</c:v>
                </c:pt>
                <c:pt idx="1">
                  <c:v>2º Trimestre</c:v>
                </c:pt>
                <c:pt idx="2">
                  <c:v>3º Trimestre</c:v>
                </c:pt>
                <c:pt idx="3">
                  <c:v>4º Trimestre</c:v>
                </c:pt>
              </c:strCache>
            </c:strRef>
          </c:cat>
          <c:val>
            <c:numRef>
              <c:f>'Lucro Presumido (simulação)'!$H$28:$H$31</c:f>
              <c:numCache>
                <c:formatCode>"R$ "#,##0.00;[Red]"(R$ "#,##0.00\)</c:formatCode>
                <c:ptCount val="4"/>
                <c:pt idx="0">
                  <c:v>1.44</c:v>
                </c:pt>
                <c:pt idx="1">
                  <c:v>1.44</c:v>
                </c:pt>
                <c:pt idx="2">
                  <c:v>1.44</c:v>
                </c:pt>
                <c:pt idx="3">
                  <c:v>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C-4D03-ADCE-14D71B915B0E}"/>
            </c:ext>
          </c:extLst>
        </c:ser>
        <c:ser>
          <c:idx val="1"/>
          <c:order val="1"/>
          <c:tx>
            <c:strRef>
              <c:f>'Lucro Presumido (simulação)'!$J$27</c:f>
              <c:strCache>
                <c:ptCount val="1"/>
                <c:pt idx="0">
                  <c:v>CSLL (9%)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'Lucro Presumido (simulação)'!$A$28:$A$31</c:f>
              <c:strCache>
                <c:ptCount val="4"/>
                <c:pt idx="0">
                  <c:v>1º Trimestre</c:v>
                </c:pt>
                <c:pt idx="1">
                  <c:v>2º Trimestre</c:v>
                </c:pt>
                <c:pt idx="2">
                  <c:v>3º Trimestre</c:v>
                </c:pt>
                <c:pt idx="3">
                  <c:v>4º Trimestre</c:v>
                </c:pt>
              </c:strCache>
            </c:strRef>
          </c:cat>
          <c:val>
            <c:numRef>
              <c:f>'Lucro Presumido (simulação)'!$J$28:$J$31</c:f>
              <c:numCache>
                <c:formatCode>"R$ "#,##0.00;[Red]"(R$ "#,##0.00\)</c:formatCode>
                <c:ptCount val="4"/>
                <c:pt idx="0">
                  <c:v>0.86399999999999999</c:v>
                </c:pt>
                <c:pt idx="1">
                  <c:v>0.86399999999999999</c:v>
                </c:pt>
                <c:pt idx="2">
                  <c:v>0.86399999999999999</c:v>
                </c:pt>
                <c:pt idx="3">
                  <c:v>0.86399999999999999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C-4D03-ADCE-14D71B915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75573"/>
        <c:axId val="13177565"/>
      </c:barChart>
      <c:catAx>
        <c:axId val="662755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3177565"/>
        <c:crosses val="autoZero"/>
        <c:auto val="1"/>
        <c:lblAlgn val="ctr"/>
        <c:lblOffset val="100"/>
        <c:noMultiLvlLbl val="0"/>
      </c:catAx>
      <c:valAx>
        <c:axId val="131775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6275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46815</xdr:colOff>
      <xdr:row>26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0</xdr:rowOff>
    </xdr:from>
    <xdr:to>
      <xdr:col>10</xdr:col>
      <xdr:colOff>610920</xdr:colOff>
      <xdr:row>26</xdr:row>
      <xdr:rowOff>32040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46815</xdr:colOff>
      <xdr:row>45</xdr:row>
      <xdr:rowOff>21600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30</xdr:row>
      <xdr:rowOff>0</xdr:rowOff>
    </xdr:from>
    <xdr:to>
      <xdr:col>10</xdr:col>
      <xdr:colOff>610920</xdr:colOff>
      <xdr:row>45</xdr:row>
      <xdr:rowOff>21600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pageSetUpPr fitToPage="1"/>
  </sheetPr>
  <dimension ref="A1:N11"/>
  <sheetViews>
    <sheetView showGridLines="0" topLeftCell="C1" zoomScaleNormal="100" workbookViewId="0">
      <selection activeCell="I11" sqref="I11"/>
    </sheetView>
  </sheetViews>
  <sheetFormatPr defaultColWidth="8.7109375" defaultRowHeight="15" x14ac:dyDescent="0.25"/>
  <cols>
    <col min="1" max="1" width="24.140625" customWidth="1"/>
    <col min="2" max="13" width="17.7109375" customWidth="1"/>
    <col min="14" max="14" width="16.42578125" bestFit="1" customWidth="1"/>
    <col min="15" max="15" width="12" customWidth="1"/>
  </cols>
  <sheetData>
    <row r="1" spans="1:14" ht="30" customHeight="1" x14ac:dyDescent="0.25">
      <c r="A1" s="23" t="s">
        <v>89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spans="1:14" ht="15" customHeight="1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</row>
    <row r="4" spans="1:14" ht="20.100000000000001" customHeight="1" x14ac:dyDescent="0.25">
      <c r="A4" s="2" t="s">
        <v>26</v>
      </c>
      <c r="B4" s="21">
        <v>10</v>
      </c>
      <c r="C4" s="22">
        <v>10</v>
      </c>
      <c r="D4" s="22">
        <v>10</v>
      </c>
      <c r="E4" s="22">
        <v>10</v>
      </c>
      <c r="F4" s="22">
        <v>10</v>
      </c>
      <c r="G4" s="22">
        <v>10</v>
      </c>
      <c r="H4" s="22">
        <v>10</v>
      </c>
      <c r="I4" s="22">
        <v>10</v>
      </c>
      <c r="J4" s="22">
        <v>10</v>
      </c>
      <c r="K4" s="22">
        <v>10</v>
      </c>
      <c r="L4" s="22">
        <v>10</v>
      </c>
      <c r="M4" s="22">
        <v>10</v>
      </c>
      <c r="N4" s="3">
        <f>SUM(B4:M4)</f>
        <v>120</v>
      </c>
    </row>
    <row r="5" spans="1:14" ht="20.100000000000001" customHeight="1" x14ac:dyDescent="0.25">
      <c r="A5" s="4" t="s">
        <v>27</v>
      </c>
      <c r="B5" s="5">
        <v>0.14895286999999999</v>
      </c>
      <c r="C5" s="5">
        <v>0.14764293000000001</v>
      </c>
      <c r="D5" s="5">
        <v>0.15002550434219999</v>
      </c>
      <c r="E5" s="5">
        <v>0.14346147681999999</v>
      </c>
      <c r="F5" s="5">
        <v>0.10094317596999999</v>
      </c>
      <c r="G5" s="5">
        <v>0.15262018999999999</v>
      </c>
      <c r="H5" s="5">
        <v>9.9172495772000005E-2</v>
      </c>
      <c r="I5" s="5">
        <v>9.8426040000000006E-2</v>
      </c>
      <c r="J5" s="5">
        <v>9.889473E-2</v>
      </c>
      <c r="K5" s="5">
        <v>9.959295E-2</v>
      </c>
      <c r="L5" s="5">
        <v>9.5122860000000004E-2</v>
      </c>
      <c r="M5" s="5">
        <v>9.1061890000000006E-2</v>
      </c>
      <c r="N5" s="6" t="s">
        <v>28</v>
      </c>
    </row>
    <row r="6" spans="1:14" ht="20.100000000000001" customHeight="1" x14ac:dyDescent="0.25">
      <c r="A6" s="2" t="s">
        <v>29</v>
      </c>
      <c r="B6" s="7">
        <f t="shared" ref="B6:M6" si="0">B4*B5</f>
        <v>1.4895286999999999</v>
      </c>
      <c r="C6" s="7">
        <f t="shared" si="0"/>
        <v>1.4764292999999999</v>
      </c>
      <c r="D6" s="7">
        <f t="shared" si="0"/>
        <v>1.5002550434219999</v>
      </c>
      <c r="E6" s="7">
        <f t="shared" si="0"/>
        <v>1.4346147681999999</v>
      </c>
      <c r="F6" s="7">
        <f t="shared" si="0"/>
        <v>1.0094317597</v>
      </c>
      <c r="G6" s="7">
        <f t="shared" si="0"/>
        <v>1.5262018999999998</v>
      </c>
      <c r="H6" s="7">
        <f t="shared" si="0"/>
        <v>0.99172495772000002</v>
      </c>
      <c r="I6" s="7">
        <f t="shared" si="0"/>
        <v>0.98426040000000004</v>
      </c>
      <c r="J6" s="7">
        <f t="shared" si="0"/>
        <v>0.98894729999999997</v>
      </c>
      <c r="K6" s="7">
        <f t="shared" si="0"/>
        <v>0.99592950000000002</v>
      </c>
      <c r="L6" s="7">
        <f t="shared" si="0"/>
        <v>0.95122860000000009</v>
      </c>
      <c r="M6" s="7">
        <f t="shared" si="0"/>
        <v>0.91061890000000001</v>
      </c>
      <c r="N6" s="8">
        <f>SUM(B6:M6)</f>
        <v>14.259171129042</v>
      </c>
    </row>
    <row r="8" spans="1:14" ht="15" customHeight="1" x14ac:dyDescent="0.25">
      <c r="A8" s="9" t="s">
        <v>90</v>
      </c>
      <c r="N8" s="10">
        <f>N6</f>
        <v>14.259171129042</v>
      </c>
    </row>
    <row r="10" spans="1:14" ht="15" customHeight="1" x14ac:dyDescent="0.25">
      <c r="A10" s="11" t="s">
        <v>30</v>
      </c>
    </row>
    <row r="11" spans="1:14" ht="15" customHeight="1" x14ac:dyDescent="0.25">
      <c r="A11" s="11" t="s">
        <v>88</v>
      </c>
    </row>
  </sheetData>
  <mergeCells count="1">
    <mergeCell ref="A1:N1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43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1" width="31.42578125" customWidth="1"/>
    <col min="2" max="2" width="16.7109375" customWidth="1"/>
    <col min="3" max="3" width="16.42578125" bestFit="1" customWidth="1"/>
    <col min="4" max="4" width="17.85546875" bestFit="1" customWidth="1"/>
    <col min="5" max="5" width="14.7109375" bestFit="1" customWidth="1"/>
    <col min="6" max="6" width="20.28515625" bestFit="1" customWidth="1"/>
    <col min="7" max="8" width="14.7109375" bestFit="1" customWidth="1"/>
    <col min="9" max="9" width="17.85546875" bestFit="1" customWidth="1"/>
    <col min="10" max="13" width="14.7109375" bestFit="1" customWidth="1"/>
    <col min="14" max="14" width="16.42578125" bestFit="1" customWidth="1"/>
    <col min="15" max="15" width="13" customWidth="1"/>
  </cols>
  <sheetData>
    <row r="1" spans="1:14" ht="30" customHeight="1" x14ac:dyDescent="0.25">
      <c r="A1" s="23" t="s">
        <v>91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spans="1:14" ht="15" customHeight="1" x14ac:dyDescent="0.25">
      <c r="A3" s="27" t="s">
        <v>31</v>
      </c>
      <c r="B3" s="27"/>
      <c r="C3" s="27"/>
    </row>
    <row r="4" spans="1:14" ht="15" customHeight="1" x14ac:dyDescent="0.25">
      <c r="A4" s="26" t="s">
        <v>32</v>
      </c>
      <c r="B4" s="26"/>
      <c r="C4" s="26"/>
      <c r="D4" s="12">
        <v>0.32</v>
      </c>
    </row>
    <row r="5" spans="1:14" ht="15" customHeight="1" x14ac:dyDescent="0.25">
      <c r="A5" s="26" t="s">
        <v>33</v>
      </c>
      <c r="B5" s="26"/>
      <c r="C5" s="26"/>
      <c r="D5" s="12">
        <v>0.32</v>
      </c>
    </row>
    <row r="6" spans="1:14" ht="15" customHeight="1" x14ac:dyDescent="0.25">
      <c r="A6" s="26" t="s">
        <v>34</v>
      </c>
      <c r="B6" s="26"/>
      <c r="C6" s="26"/>
      <c r="D6" s="12">
        <v>0.15</v>
      </c>
    </row>
    <row r="7" spans="1:14" ht="26.25" customHeight="1" x14ac:dyDescent="0.25">
      <c r="A7" s="26" t="s">
        <v>35</v>
      </c>
      <c r="B7" s="26"/>
      <c r="C7" s="26"/>
      <c r="D7" s="12">
        <v>0.1</v>
      </c>
    </row>
    <row r="8" spans="1:14" ht="26.25" customHeight="1" x14ac:dyDescent="0.25">
      <c r="A8" s="26" t="s">
        <v>36</v>
      </c>
      <c r="B8" s="26"/>
      <c r="C8" s="26"/>
      <c r="D8" s="13">
        <v>60000</v>
      </c>
    </row>
    <row r="9" spans="1:14" ht="15" customHeight="1" x14ac:dyDescent="0.25">
      <c r="A9" s="26" t="s">
        <v>37</v>
      </c>
      <c r="B9" s="26"/>
      <c r="C9" s="26"/>
      <c r="D9" s="12">
        <v>0.09</v>
      </c>
    </row>
    <row r="10" spans="1:14" ht="15" customHeight="1" x14ac:dyDescent="0.25">
      <c r="A10" s="26" t="s">
        <v>38</v>
      </c>
      <c r="B10" s="26"/>
      <c r="C10" s="26"/>
      <c r="D10" s="14">
        <v>6.4999999999999997E-3</v>
      </c>
    </row>
    <row r="11" spans="1:14" ht="15" customHeight="1" x14ac:dyDescent="0.25">
      <c r="A11" s="26" t="s">
        <v>39</v>
      </c>
      <c r="B11" s="26"/>
      <c r="C11" s="26"/>
      <c r="D11" s="14">
        <v>0.03</v>
      </c>
    </row>
    <row r="12" spans="1:14" ht="26.25" customHeight="1" x14ac:dyDescent="0.25">
      <c r="A12" s="26" t="s">
        <v>40</v>
      </c>
      <c r="B12" s="26"/>
      <c r="C12" s="26"/>
      <c r="D12" s="14">
        <v>0.05</v>
      </c>
    </row>
    <row r="13" spans="1:14" ht="29.25" customHeight="1" x14ac:dyDescent="0.25">
      <c r="A13" s="26" t="s">
        <v>41</v>
      </c>
      <c r="B13" s="26"/>
      <c r="C13" s="26"/>
      <c r="D13" s="13">
        <v>0</v>
      </c>
    </row>
    <row r="14" spans="1:14" ht="15" customHeight="1" x14ac:dyDescent="0.25">
      <c r="A14" s="26" t="s">
        <v>42</v>
      </c>
      <c r="B14" s="26"/>
      <c r="C14" s="26"/>
      <c r="D14" s="15">
        <v>0.2</v>
      </c>
    </row>
    <row r="16" spans="1:14" ht="15" customHeight="1" x14ac:dyDescent="0.25">
      <c r="A16" s="29" t="s">
        <v>43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 ht="6.75" customHeight="1" x14ac:dyDescent="0.25"/>
    <row r="18" spans="1:14" ht="15" customHeight="1" x14ac:dyDescent="0.25">
      <c r="A18" s="27" t="s">
        <v>44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1:14" ht="15" customHeight="1" x14ac:dyDescent="0.25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18</v>
      </c>
      <c r="H19" s="1" t="s">
        <v>19</v>
      </c>
      <c r="I19" s="1" t="s">
        <v>20</v>
      </c>
      <c r="J19" s="1" t="s">
        <v>21</v>
      </c>
      <c r="K19" s="1" t="s">
        <v>22</v>
      </c>
      <c r="L19" s="1" t="s">
        <v>23</v>
      </c>
      <c r="M19" s="1" t="s">
        <v>24</v>
      </c>
      <c r="N19" s="1" t="s">
        <v>25</v>
      </c>
    </row>
    <row r="20" spans="1:14" ht="15" customHeight="1" x14ac:dyDescent="0.25">
      <c r="A20" s="2" t="s">
        <v>26</v>
      </c>
      <c r="B20" s="16">
        <f>'Simples Nacional (ref.)'!B4</f>
        <v>10</v>
      </c>
      <c r="C20" s="16">
        <f>'Simples Nacional (ref.)'!C4</f>
        <v>10</v>
      </c>
      <c r="D20" s="16">
        <f>'Simples Nacional (ref.)'!D4</f>
        <v>10</v>
      </c>
      <c r="E20" s="16">
        <f>'Simples Nacional (ref.)'!E4</f>
        <v>10</v>
      </c>
      <c r="F20" s="16">
        <f>'Simples Nacional (ref.)'!F4</f>
        <v>10</v>
      </c>
      <c r="G20" s="16">
        <f>'Simples Nacional (ref.)'!G4</f>
        <v>10</v>
      </c>
      <c r="H20" s="16">
        <f>'Simples Nacional (ref.)'!H4</f>
        <v>10</v>
      </c>
      <c r="I20" s="16">
        <f>'Simples Nacional (ref.)'!I4</f>
        <v>10</v>
      </c>
      <c r="J20" s="16">
        <f>'Simples Nacional (ref.)'!J4</f>
        <v>10</v>
      </c>
      <c r="K20" s="16">
        <f>'Simples Nacional (ref.)'!K4</f>
        <v>10</v>
      </c>
      <c r="L20" s="16">
        <f>'Simples Nacional (ref.)'!L4</f>
        <v>10</v>
      </c>
      <c r="M20" s="16">
        <f>'Simples Nacional (ref.)'!M4</f>
        <v>10</v>
      </c>
      <c r="N20" s="3">
        <f t="shared" ref="N20:N24" si="0">SUM(B20:M20)</f>
        <v>120</v>
      </c>
    </row>
    <row r="21" spans="1:14" ht="15" customHeight="1" x14ac:dyDescent="0.25">
      <c r="A21" s="4" t="s">
        <v>45</v>
      </c>
      <c r="B21" s="7">
        <f t="shared" ref="B21:M21" si="1">B20*$D$10</f>
        <v>6.5000000000000002E-2</v>
      </c>
      <c r="C21" s="7">
        <f t="shared" si="1"/>
        <v>6.5000000000000002E-2</v>
      </c>
      <c r="D21" s="7">
        <f t="shared" si="1"/>
        <v>6.5000000000000002E-2</v>
      </c>
      <c r="E21" s="7">
        <f t="shared" si="1"/>
        <v>6.5000000000000002E-2</v>
      </c>
      <c r="F21" s="7">
        <f t="shared" si="1"/>
        <v>6.5000000000000002E-2</v>
      </c>
      <c r="G21" s="7">
        <f t="shared" si="1"/>
        <v>6.5000000000000002E-2</v>
      </c>
      <c r="H21" s="7">
        <f t="shared" si="1"/>
        <v>6.5000000000000002E-2</v>
      </c>
      <c r="I21" s="7">
        <f t="shared" si="1"/>
        <v>6.5000000000000002E-2</v>
      </c>
      <c r="J21" s="7">
        <f t="shared" si="1"/>
        <v>6.5000000000000002E-2</v>
      </c>
      <c r="K21" s="7">
        <f t="shared" si="1"/>
        <v>6.5000000000000002E-2</v>
      </c>
      <c r="L21" s="7">
        <f t="shared" si="1"/>
        <v>6.5000000000000002E-2</v>
      </c>
      <c r="M21" s="7">
        <f t="shared" si="1"/>
        <v>6.5000000000000002E-2</v>
      </c>
      <c r="N21" s="3">
        <f t="shared" si="0"/>
        <v>0.7799999999999998</v>
      </c>
    </row>
    <row r="22" spans="1:14" ht="15" customHeight="1" x14ac:dyDescent="0.25">
      <c r="A22" s="4" t="s">
        <v>46</v>
      </c>
      <c r="B22" s="7">
        <f t="shared" ref="B22:M22" si="2">B20*$D$11</f>
        <v>0.3</v>
      </c>
      <c r="C22" s="7">
        <f t="shared" si="2"/>
        <v>0.3</v>
      </c>
      <c r="D22" s="7">
        <f t="shared" si="2"/>
        <v>0.3</v>
      </c>
      <c r="E22" s="7">
        <f t="shared" si="2"/>
        <v>0.3</v>
      </c>
      <c r="F22" s="7">
        <f t="shared" si="2"/>
        <v>0.3</v>
      </c>
      <c r="G22" s="7">
        <f t="shared" si="2"/>
        <v>0.3</v>
      </c>
      <c r="H22" s="7">
        <f t="shared" si="2"/>
        <v>0.3</v>
      </c>
      <c r="I22" s="7">
        <f t="shared" si="2"/>
        <v>0.3</v>
      </c>
      <c r="J22" s="7">
        <f t="shared" si="2"/>
        <v>0.3</v>
      </c>
      <c r="K22" s="7">
        <f t="shared" si="2"/>
        <v>0.3</v>
      </c>
      <c r="L22" s="7">
        <f t="shared" si="2"/>
        <v>0.3</v>
      </c>
      <c r="M22" s="7">
        <f t="shared" si="2"/>
        <v>0.3</v>
      </c>
      <c r="N22" s="3">
        <f t="shared" si="0"/>
        <v>3.5999999999999992</v>
      </c>
    </row>
    <row r="23" spans="1:14" ht="15" customHeight="1" x14ac:dyDescent="0.25">
      <c r="A23" s="4" t="s">
        <v>47</v>
      </c>
      <c r="B23" s="7">
        <f t="shared" ref="B23:M23" si="3">B20*$D$12</f>
        <v>0.5</v>
      </c>
      <c r="C23" s="7">
        <f t="shared" si="3"/>
        <v>0.5</v>
      </c>
      <c r="D23" s="7">
        <f t="shared" si="3"/>
        <v>0.5</v>
      </c>
      <c r="E23" s="7">
        <f t="shared" si="3"/>
        <v>0.5</v>
      </c>
      <c r="F23" s="7">
        <f t="shared" si="3"/>
        <v>0.5</v>
      </c>
      <c r="G23" s="7">
        <f t="shared" si="3"/>
        <v>0.5</v>
      </c>
      <c r="H23" s="7">
        <f t="shared" si="3"/>
        <v>0.5</v>
      </c>
      <c r="I23" s="7">
        <f t="shared" si="3"/>
        <v>0.5</v>
      </c>
      <c r="J23" s="7">
        <f t="shared" si="3"/>
        <v>0.5</v>
      </c>
      <c r="K23" s="7">
        <f t="shared" si="3"/>
        <v>0.5</v>
      </c>
      <c r="L23" s="7">
        <f t="shared" si="3"/>
        <v>0.5</v>
      </c>
      <c r="M23" s="7">
        <f t="shared" si="3"/>
        <v>0.5</v>
      </c>
      <c r="N23" s="3">
        <f t="shared" si="0"/>
        <v>6</v>
      </c>
    </row>
    <row r="24" spans="1:14" ht="28.5" customHeight="1" x14ac:dyDescent="0.25">
      <c r="A24" s="17" t="s">
        <v>48</v>
      </c>
      <c r="B24" s="8">
        <f t="shared" ref="B24:M24" si="4">SUM(B21:B23)</f>
        <v>0.86499999999999999</v>
      </c>
      <c r="C24" s="8">
        <f t="shared" si="4"/>
        <v>0.86499999999999999</v>
      </c>
      <c r="D24" s="8">
        <f t="shared" si="4"/>
        <v>0.86499999999999999</v>
      </c>
      <c r="E24" s="8">
        <f t="shared" si="4"/>
        <v>0.86499999999999999</v>
      </c>
      <c r="F24" s="8">
        <f t="shared" si="4"/>
        <v>0.86499999999999999</v>
      </c>
      <c r="G24" s="8">
        <f t="shared" si="4"/>
        <v>0.86499999999999999</v>
      </c>
      <c r="H24" s="8">
        <f t="shared" si="4"/>
        <v>0.86499999999999999</v>
      </c>
      <c r="I24" s="8">
        <f t="shared" si="4"/>
        <v>0.86499999999999999</v>
      </c>
      <c r="J24" s="8">
        <f t="shared" si="4"/>
        <v>0.86499999999999999</v>
      </c>
      <c r="K24" s="8">
        <f t="shared" si="4"/>
        <v>0.86499999999999999</v>
      </c>
      <c r="L24" s="8">
        <f t="shared" si="4"/>
        <v>0.86499999999999999</v>
      </c>
      <c r="M24" s="8">
        <f t="shared" si="4"/>
        <v>0.86499999999999999</v>
      </c>
      <c r="N24" s="8">
        <f t="shared" si="0"/>
        <v>10.38</v>
      </c>
    </row>
    <row r="26" spans="1:14" ht="15" customHeight="1" x14ac:dyDescent="0.25">
      <c r="A26" s="27" t="s">
        <v>49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4" ht="39" customHeight="1" x14ac:dyDescent="0.25">
      <c r="A27" s="1" t="s">
        <v>50</v>
      </c>
      <c r="B27" s="1" t="s">
        <v>51</v>
      </c>
      <c r="C27" s="1" t="s">
        <v>52</v>
      </c>
      <c r="D27" s="1" t="s">
        <v>53</v>
      </c>
      <c r="E27" s="1" t="s">
        <v>54</v>
      </c>
      <c r="F27" s="1" t="s">
        <v>55</v>
      </c>
      <c r="G27" s="1" t="s">
        <v>56</v>
      </c>
      <c r="H27" s="1" t="s">
        <v>57</v>
      </c>
      <c r="I27" s="1" t="s">
        <v>58</v>
      </c>
      <c r="J27" s="1" t="s">
        <v>59</v>
      </c>
    </row>
    <row r="28" spans="1:14" ht="15" customHeight="1" x14ac:dyDescent="0.25">
      <c r="A28" s="6" t="s">
        <v>60</v>
      </c>
      <c r="B28" s="6" t="s">
        <v>61</v>
      </c>
      <c r="C28" s="7">
        <f>SUM(B20:D20)</f>
        <v>30</v>
      </c>
      <c r="D28" s="7">
        <f>C28*$D$4</f>
        <v>9.6</v>
      </c>
      <c r="E28" s="7">
        <f>D28*$D$6</f>
        <v>1.44</v>
      </c>
      <c r="F28" s="7">
        <f>MAX(D28-$D$8,0)</f>
        <v>0</v>
      </c>
      <c r="G28" s="7">
        <f>F28*$D$7</f>
        <v>0</v>
      </c>
      <c r="H28" s="3">
        <f>E28+G28</f>
        <v>1.44</v>
      </c>
      <c r="I28" s="7">
        <f>C28*$D$5</f>
        <v>9.6</v>
      </c>
      <c r="J28" s="3">
        <f>I28*$D$9</f>
        <v>0.86399999999999999</v>
      </c>
    </row>
    <row r="29" spans="1:14" ht="15" customHeight="1" x14ac:dyDescent="0.25">
      <c r="A29" s="6" t="s">
        <v>62</v>
      </c>
      <c r="B29" s="6" t="s">
        <v>63</v>
      </c>
      <c r="C29" s="7">
        <f>SUM(E20:G20)</f>
        <v>30</v>
      </c>
      <c r="D29" s="7">
        <f>C29*$D$4</f>
        <v>9.6</v>
      </c>
      <c r="E29" s="7">
        <f>D29*$D$6</f>
        <v>1.44</v>
      </c>
      <c r="F29" s="7">
        <f>MAX(D29-$D$8,0)</f>
        <v>0</v>
      </c>
      <c r="G29" s="7">
        <f>F29*$D$7</f>
        <v>0</v>
      </c>
      <c r="H29" s="3">
        <f>E29+G29</f>
        <v>1.44</v>
      </c>
      <c r="I29" s="7">
        <f>C29*$D$5</f>
        <v>9.6</v>
      </c>
      <c r="J29" s="3">
        <f>I29*$D$9</f>
        <v>0.86399999999999999</v>
      </c>
    </row>
    <row r="30" spans="1:14" ht="15" customHeight="1" x14ac:dyDescent="0.25">
      <c r="A30" s="6" t="s">
        <v>64</v>
      </c>
      <c r="B30" s="6" t="s">
        <v>65</v>
      </c>
      <c r="C30" s="7">
        <f>SUM(H20:J20)</f>
        <v>30</v>
      </c>
      <c r="D30" s="7">
        <f>C30*$D$4</f>
        <v>9.6</v>
      </c>
      <c r="E30" s="7">
        <f>D30*$D$6</f>
        <v>1.44</v>
      </c>
      <c r="F30" s="7">
        <f>MAX(D30-$D$8,0)</f>
        <v>0</v>
      </c>
      <c r="G30" s="7">
        <f>F30*$D$7</f>
        <v>0</v>
      </c>
      <c r="H30" s="3">
        <f>E30+G30</f>
        <v>1.44</v>
      </c>
      <c r="I30" s="7">
        <f>C30*$D$5</f>
        <v>9.6</v>
      </c>
      <c r="J30" s="3">
        <f>I30*$D$9</f>
        <v>0.86399999999999999</v>
      </c>
    </row>
    <row r="31" spans="1:14" ht="15" customHeight="1" x14ac:dyDescent="0.25">
      <c r="A31" s="6" t="s">
        <v>66</v>
      </c>
      <c r="B31" s="6" t="s">
        <v>67</v>
      </c>
      <c r="C31" s="7">
        <f>SUM(K20:M20)</f>
        <v>30</v>
      </c>
      <c r="D31" s="7">
        <f>C31*$D$4</f>
        <v>9.6</v>
      </c>
      <c r="E31" s="7">
        <f>D31*$D$6</f>
        <v>1.44</v>
      </c>
      <c r="F31" s="7">
        <f>MAX(D31-$D$8,0)</f>
        <v>0</v>
      </c>
      <c r="G31" s="7">
        <f>F31*$D$7</f>
        <v>0</v>
      </c>
      <c r="H31" s="3">
        <f>E31+G31</f>
        <v>1.44</v>
      </c>
      <c r="I31" s="7">
        <f>C31*$D$5</f>
        <v>9.6</v>
      </c>
      <c r="J31" s="3">
        <f>I31*$D$9</f>
        <v>0.86399999999999999</v>
      </c>
    </row>
    <row r="32" spans="1:14" ht="15" customHeight="1" x14ac:dyDescent="0.25">
      <c r="A32" s="28" t="s">
        <v>68</v>
      </c>
      <c r="B32" s="28"/>
      <c r="C32" s="8">
        <f t="shared" ref="C32:J32" si="5">SUM(C28:C31)</f>
        <v>120</v>
      </c>
      <c r="D32" s="8">
        <f t="shared" si="5"/>
        <v>38.4</v>
      </c>
      <c r="E32" s="8">
        <f t="shared" si="5"/>
        <v>5.76</v>
      </c>
      <c r="F32" s="8">
        <f t="shared" si="5"/>
        <v>0</v>
      </c>
      <c r="G32" s="8">
        <f t="shared" si="5"/>
        <v>0</v>
      </c>
      <c r="H32" s="8">
        <f t="shared" si="5"/>
        <v>5.76</v>
      </c>
      <c r="I32" s="8">
        <f t="shared" si="5"/>
        <v>38.4</v>
      </c>
      <c r="J32" s="8">
        <f t="shared" si="5"/>
        <v>3.456</v>
      </c>
    </row>
    <row r="33" spans="1:14" ht="15" customHeight="1" x14ac:dyDescent="0.25">
      <c r="A33" s="29" t="s">
        <v>69</v>
      </c>
      <c r="B33" s="29"/>
      <c r="C33" s="29"/>
      <c r="D33" s="29"/>
      <c r="E33" s="29"/>
      <c r="F33" s="29"/>
      <c r="G33" s="29"/>
      <c r="H33" s="29"/>
      <c r="I33" s="29"/>
      <c r="J33" s="29"/>
    </row>
    <row r="35" spans="1:14" ht="15" customHeight="1" x14ac:dyDescent="0.25">
      <c r="A35" s="30" t="s">
        <v>70</v>
      </c>
      <c r="B35" s="31"/>
      <c r="C35" s="31"/>
    </row>
    <row r="36" spans="1:14" ht="15" customHeight="1" x14ac:dyDescent="0.25">
      <c r="A36" s="26" t="s">
        <v>71</v>
      </c>
      <c r="B36" s="26"/>
      <c r="C36" s="7">
        <f>N21</f>
        <v>0.7799999999999998</v>
      </c>
    </row>
    <row r="37" spans="1:14" ht="15" customHeight="1" x14ac:dyDescent="0.25">
      <c r="A37" s="26" t="s">
        <v>72</v>
      </c>
      <c r="B37" s="26"/>
      <c r="C37" s="7">
        <f>N22</f>
        <v>3.5999999999999992</v>
      </c>
    </row>
    <row r="38" spans="1:14" ht="15" customHeight="1" x14ac:dyDescent="0.25">
      <c r="A38" s="26" t="s">
        <v>47</v>
      </c>
      <c r="B38" s="26"/>
      <c r="C38" s="7">
        <f>N23</f>
        <v>6</v>
      </c>
    </row>
    <row r="39" spans="1:14" ht="15" customHeight="1" x14ac:dyDescent="0.25">
      <c r="A39" s="26" t="s">
        <v>73</v>
      </c>
      <c r="B39" s="26"/>
      <c r="C39" s="7">
        <f>H32</f>
        <v>5.76</v>
      </c>
    </row>
    <row r="40" spans="1:14" ht="15" customHeight="1" x14ac:dyDescent="0.25">
      <c r="A40" s="26" t="s">
        <v>74</v>
      </c>
      <c r="B40" s="26"/>
      <c r="C40" s="7">
        <f>J32</f>
        <v>3.456</v>
      </c>
    </row>
    <row r="41" spans="1:14" ht="15" customHeight="1" x14ac:dyDescent="0.25">
      <c r="A41" s="24" t="s">
        <v>75</v>
      </c>
      <c r="B41" s="24"/>
      <c r="C41" s="18">
        <f>SUM(C36:C40)</f>
        <v>19.596</v>
      </c>
    </row>
    <row r="43" spans="1:14" ht="62.25" customHeight="1" x14ac:dyDescent="0.25">
      <c r="A43" s="25" t="s">
        <v>85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</sheetData>
  <mergeCells count="26">
    <mergeCell ref="A1:N1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6:N16"/>
    <mergeCell ref="A18:N18"/>
    <mergeCell ref="A26:J26"/>
    <mergeCell ref="A32:B32"/>
    <mergeCell ref="A33:J33"/>
    <mergeCell ref="A36:B36"/>
    <mergeCell ref="A35:C35"/>
    <mergeCell ref="A41:B41"/>
    <mergeCell ref="A43:N43"/>
    <mergeCell ref="A37:B37"/>
    <mergeCell ref="A38:B38"/>
    <mergeCell ref="A39:B39"/>
    <mergeCell ref="A40:B40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  <pageSetUpPr fitToPage="1"/>
  </sheetPr>
  <dimension ref="A1:D13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1" width="38" customWidth="1"/>
    <col min="2" max="4" width="20" customWidth="1"/>
  </cols>
  <sheetData>
    <row r="1" spans="1:4" ht="30" customHeight="1" x14ac:dyDescent="0.25">
      <c r="A1" s="23" t="s">
        <v>92</v>
      </c>
      <c r="B1" s="23"/>
      <c r="C1" s="23"/>
      <c r="D1" s="23"/>
    </row>
    <row r="3" spans="1:4" ht="26.25" customHeight="1" x14ac:dyDescent="0.25">
      <c r="A3" s="1" t="s">
        <v>76</v>
      </c>
      <c r="B3" s="1" t="s">
        <v>77</v>
      </c>
    </row>
    <row r="4" spans="1:4" ht="15" customHeight="1" x14ac:dyDescent="0.25">
      <c r="A4" s="4" t="s">
        <v>78</v>
      </c>
      <c r="B4" s="7">
        <f>'Simples Nacional (ref.)'!N8</f>
        <v>14.259171129042</v>
      </c>
    </row>
    <row r="5" spans="1:4" ht="15" customHeight="1" x14ac:dyDescent="0.25">
      <c r="A5" s="4" t="s">
        <v>79</v>
      </c>
      <c r="B5" s="7">
        <f>'Lucro Presumido (simulação)'!C41</f>
        <v>19.596</v>
      </c>
    </row>
    <row r="6" spans="1:4" ht="15" customHeight="1" x14ac:dyDescent="0.25">
      <c r="A6" s="17" t="s">
        <v>80</v>
      </c>
      <c r="B6" s="8">
        <f>B5-B4</f>
        <v>5.3368288709579996</v>
      </c>
    </row>
    <row r="7" spans="1:4" ht="15" customHeight="1" x14ac:dyDescent="0.25">
      <c r="A7" s="17" t="s">
        <v>81</v>
      </c>
      <c r="B7" s="19">
        <f>B6/B4</f>
        <v>0.37427342884526793</v>
      </c>
    </row>
    <row r="9" spans="1:4" ht="15" customHeight="1" x14ac:dyDescent="0.25">
      <c r="A9" s="32" t="s">
        <v>82</v>
      </c>
      <c r="B9" s="32"/>
    </row>
    <row r="10" spans="1:4" ht="15" customHeight="1" x14ac:dyDescent="0.25">
      <c r="A10" s="4" t="s">
        <v>83</v>
      </c>
      <c r="B10" s="20">
        <f>B4/'Simples Nacional (ref.)'!N4</f>
        <v>0.11882642607535</v>
      </c>
    </row>
    <row r="11" spans="1:4" ht="15" customHeight="1" x14ac:dyDescent="0.25">
      <c r="A11" s="4" t="s">
        <v>84</v>
      </c>
      <c r="B11" s="20">
        <f>B5/'Lucro Presumido (simulação)'!N20</f>
        <v>0.1633</v>
      </c>
    </row>
    <row r="13" spans="1:4" ht="139.5" customHeight="1" x14ac:dyDescent="0.25">
      <c r="A13" s="25" t="s">
        <v>87</v>
      </c>
      <c r="B13" s="25"/>
      <c r="C13" s="25"/>
      <c r="D13" s="25"/>
    </row>
  </sheetData>
  <mergeCells count="3">
    <mergeCell ref="A1:D1"/>
    <mergeCell ref="A9:B9"/>
    <mergeCell ref="A13:D13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M52"/>
  <sheetViews>
    <sheetView showGridLines="0" showRowColHeaders="0" tabSelected="1" zoomScaleNormal="100" workbookViewId="0">
      <selection activeCell="A13" sqref="A13"/>
    </sheetView>
  </sheetViews>
  <sheetFormatPr defaultColWidth="0" defaultRowHeight="15" x14ac:dyDescent="0.25"/>
  <cols>
    <col min="1" max="1" width="26" customWidth="1"/>
    <col min="2" max="12" width="17.7109375" customWidth="1"/>
    <col min="13" max="13" width="17.7109375" hidden="1" customWidth="1"/>
    <col min="14" max="16384" width="8.7109375" hidden="1"/>
  </cols>
  <sheetData>
    <row r="1" spans="1:12" ht="21.75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9.7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9.7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ht="18" customHeight="1" x14ac:dyDescent="0.25">
      <c r="A4" s="48" t="s">
        <v>93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6" spans="1:12" ht="18" customHeight="1" x14ac:dyDescent="0.25">
      <c r="A6" s="46" t="s">
        <v>1</v>
      </c>
      <c r="B6" s="46"/>
      <c r="C6" s="46"/>
      <c r="D6" s="44" t="s">
        <v>2</v>
      </c>
      <c r="E6" s="44"/>
      <c r="F6" s="44"/>
      <c r="G6" s="45" t="s">
        <v>3</v>
      </c>
      <c r="H6" s="45"/>
      <c r="I6" s="45"/>
      <c r="J6" s="43" t="s">
        <v>4</v>
      </c>
      <c r="K6" s="43"/>
      <c r="L6" s="43"/>
    </row>
    <row r="7" spans="1:12" ht="31.5" customHeight="1" x14ac:dyDescent="0.25">
      <c r="A7" s="39">
        <f>'Lucro Presumido (simulação)'!N20</f>
        <v>120</v>
      </c>
      <c r="B7" s="39"/>
      <c r="C7" s="39"/>
      <c r="D7" s="40">
        <f>Comparativo!B4</f>
        <v>14.259171129042</v>
      </c>
      <c r="E7" s="40"/>
      <c r="F7" s="40"/>
      <c r="G7" s="41">
        <f>Comparativo!B5</f>
        <v>19.596</v>
      </c>
      <c r="H7" s="41"/>
      <c r="I7" s="41"/>
      <c r="J7" s="42">
        <f>Comparativo!B6</f>
        <v>5.3368288709579996</v>
      </c>
      <c r="K7" s="42"/>
      <c r="L7" s="42"/>
    </row>
    <row r="9" spans="1:12" ht="18" customHeight="1" x14ac:dyDescent="0.25">
      <c r="A9" s="43" t="s">
        <v>5</v>
      </c>
      <c r="B9" s="43"/>
      <c r="C9" s="43"/>
      <c r="D9" s="44" t="s">
        <v>6</v>
      </c>
      <c r="E9" s="44"/>
      <c r="F9" s="44"/>
      <c r="G9" s="45" t="s">
        <v>7</v>
      </c>
      <c r="H9" s="45"/>
      <c r="I9" s="45"/>
      <c r="J9" s="46" t="s">
        <v>8</v>
      </c>
      <c r="K9" s="46"/>
      <c r="L9" s="46"/>
    </row>
    <row r="10" spans="1:12" ht="31.5" customHeight="1" x14ac:dyDescent="0.25">
      <c r="A10" s="35">
        <f>Comparativo!B7</f>
        <v>0.37427342884526793</v>
      </c>
      <c r="B10" s="35"/>
      <c r="C10" s="35"/>
      <c r="D10" s="36">
        <f>Comparativo!B10</f>
        <v>0.11882642607535</v>
      </c>
      <c r="E10" s="36"/>
      <c r="F10" s="36"/>
      <c r="G10" s="37">
        <f>Comparativo!B11</f>
        <v>0.1633</v>
      </c>
      <c r="H10" s="37"/>
      <c r="I10" s="37"/>
      <c r="J10" s="38" t="str">
        <f>IF(Comparativo!B6&gt;0,"SIMPLES NACIONAL","LUCRO PRESUMIDO")</f>
        <v>SIMPLES NACIONAL</v>
      </c>
      <c r="K10" s="38"/>
      <c r="L10" s="38"/>
    </row>
    <row r="12" spans="1:12" ht="19.5" customHeight="1" x14ac:dyDescent="0.25">
      <c r="A12" s="33" t="s">
        <v>94</v>
      </c>
      <c r="B12" s="33"/>
      <c r="C12" s="33"/>
      <c r="D12" s="33"/>
      <c r="E12" s="33"/>
      <c r="F12" s="33"/>
      <c r="G12" s="33" t="s">
        <v>9</v>
      </c>
      <c r="H12" s="33"/>
      <c r="I12" s="33"/>
      <c r="J12" s="33"/>
      <c r="K12" s="33"/>
      <c r="L12" s="33"/>
    </row>
    <row r="30" spans="1:12" ht="19.5" customHeight="1" x14ac:dyDescent="0.25">
      <c r="A30" s="33" t="s">
        <v>10</v>
      </c>
      <c r="B30" s="33"/>
      <c r="C30" s="33"/>
      <c r="D30" s="33"/>
      <c r="E30" s="33"/>
      <c r="F30" s="33"/>
      <c r="G30" s="33" t="s">
        <v>11</v>
      </c>
      <c r="H30" s="33"/>
      <c r="I30" s="33"/>
      <c r="J30" s="33"/>
      <c r="K30" s="33"/>
      <c r="L30" s="33"/>
    </row>
    <row r="48" spans="1:12" ht="15" customHeight="1" x14ac:dyDescent="0.25">
      <c r="A48" s="34" t="s">
        <v>86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15" customHeight="1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15" customHeight="1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spans="1:12" ht="15" customHeight="1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15" customHeight="1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</sheetData>
  <mergeCells count="23">
    <mergeCell ref="A1:L3"/>
    <mergeCell ref="A4:L4"/>
    <mergeCell ref="A6:C6"/>
    <mergeCell ref="D6:F6"/>
    <mergeCell ref="G6:I6"/>
    <mergeCell ref="J6:L6"/>
    <mergeCell ref="A7:C7"/>
    <mergeCell ref="D7:F7"/>
    <mergeCell ref="G7:I7"/>
    <mergeCell ref="J7:L7"/>
    <mergeCell ref="A9:C9"/>
    <mergeCell ref="D9:F9"/>
    <mergeCell ref="G9:I9"/>
    <mergeCell ref="J9:L9"/>
    <mergeCell ref="A30:F30"/>
    <mergeCell ref="G30:L30"/>
    <mergeCell ref="A48:L52"/>
    <mergeCell ref="A10:C10"/>
    <mergeCell ref="D10:F10"/>
    <mergeCell ref="G10:I10"/>
    <mergeCell ref="J10:L10"/>
    <mergeCell ref="A12:F12"/>
    <mergeCell ref="G12:L12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Simples Nacional (ref.)</vt:lpstr>
      <vt:lpstr>Lucro Presumido (simulação)</vt:lpstr>
      <vt:lpstr>Comparativo</vt:lpstr>
      <vt:lpstr>Dashboard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pc30-bene@hotmail.com</cp:lastModifiedBy>
  <cp:revision>4</cp:revision>
  <dcterms:created xsi:type="dcterms:W3CDTF">2026-09-17T18:49:01Z</dcterms:created>
  <dcterms:modified xsi:type="dcterms:W3CDTF">2026-09-29T13:09:54Z</dcterms:modified>
  <dc:language>en-US</dc:language>
</cp:coreProperties>
</file>